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554be10a2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24a5cfcd624cd1"/>
    <x:sheet xmlns:r="http://schemas.openxmlformats.org/officeDocument/2006/relationships" name="Coverage matrix" sheetId="2" r:id="Rfd2e09fbbb7d42b4"/>
    <x:sheet xmlns:r="http://schemas.openxmlformats.org/officeDocument/2006/relationships" name="Source register" sheetId="3" r:id="R6448a29c7ace472f"/>
    <x:sheet xmlns:r="http://schemas.openxmlformats.org/officeDocument/2006/relationships" name="Request template" sheetId="4" r:id="Rc38299b066ed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"/>
    </x:font>
    <x:font>
      <x:i/>
      <x:sz val="11"/>
      <x:color rgb="FF17365D"/>
      <x:name val="Aptos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9"/>
      <x:name val="Aptos"/>
    </x:font>
    <x:font>
      <x:b/>
      <x:sz val="17"/>
      <x:color rgb="FFFFFFFF"/>
      <x:name val="Aptos"/>
    </x:font>
    <x:font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7F9FC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a2f21b358446f" /><Relationship Type="http://schemas.openxmlformats.org/officeDocument/2006/relationships/theme" Target="/xl/theme/theme1.xml" Id="R42228a9142bf416b" /><Relationship Type="http://schemas.openxmlformats.org/officeDocument/2006/relationships/sharedStrings" Target="/xl/sharedStrings.xml" Id="Rc48edc6db6884fc6" /><Relationship Type="http://schemas.openxmlformats.org/officeDocument/2006/relationships/worksheet" Target="/xl/worksheets/sheet1.xml" Id="R9e24a5cfcd624cd1" /><Relationship Type="http://schemas.openxmlformats.org/officeDocument/2006/relationships/worksheet" Target="/xl/worksheets/sheet2.xml" Id="Rfd2e09fbbb7d42b4" /><Relationship Type="http://schemas.openxmlformats.org/officeDocument/2006/relationships/worksheet" Target="/xl/worksheets/sheet3.xml" Id="R6448a29c7ace472f" /><Relationship Type="http://schemas.openxmlformats.org/officeDocument/2006/relationships/worksheet" Target="/xl/worksheets/sheet4.xml" Id="Rc38299b066ed49e4" /></Relationships>
</file>

<file path=xl/tables/table1.xml><?xml version="1.0" encoding="utf-8"?>
<x:table xmlns:x="http://schemas.openxmlformats.org/spreadsheetml/2006/main" id="1" name="AuthorityCoverageTable" displayName="AuthorityCoverageTable" ref="A1:S32" headerRowCount="1" totalsRowCount="0" totalsRowShown="0">
  <x:autoFilter ref="A1:S32"/>
  <x:tableColumns count="19">
    <x:tableColumn id="1" name="Authority"/>
    <x:tableColumn id="2" name="Authority type"/>
    <x:tableColumn id="3" name="Planning access"/>
    <x:tableColumn id="4" name="Planning depth verified"/>
    <x:tableColumn id="5" name="Pre-2014 commencement status"/>
    <x:tableColumn id="6" name="Historic commencement route"/>
    <x:tableColumn id="7" name="2014+ commencement/completion"/>
    <x:tableColumn id="8" name="Local building-control layer"/>
    <x:tableColumn id="9" name="Fire / DAC access"/>
    <x:tableColumn id="10" name="Taking-in-charge publication"/>
    <x:tableColumn id="11" name="Taking-in-charge route"/>
    <x:tableColumn id="12" name="Derelict / vacant access"/>
    <x:tableColumn id="13" name="Housing pipeline layer"/>
    <x:tableColumn id="14" name="Enforcement / notices"/>
    <x:tableColumn id="15" name="Recommended acquisition action"/>
    <x:tableColumn id="16" name="Evidence confidence"/>
    <x:tableColumn id="17" name="Archive request priority"/>
    <x:tableColumn id="18" name="Primary official source"/>
    <x:tableColumn id="19" name="Research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Table" displayName="SourceRegisterTable" ref="A1:H38" headerRowCount="1" totalsRowCount="0" totalsRowShown="0">
  <x:tableColumns count="8">
    <x:tableColumn id="1" name="Source ID"/>
    <x:tableColumn id="2" name="Authority / scope"/>
    <x:tableColumn id="3" name="Topic"/>
    <x:tableColumn id="4" name="Source title"/>
    <x:tableColumn id="5" name="URL"/>
    <x:tableColumn id="6" name="What it establishes"/>
    <x:tableColumn id="7" name="Status"/>
    <x:tableColumn id="8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173013309d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1a726a3f045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60" hidden="0" customWidth="1"/>
    <x:col min="3" max="3" width="65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3" t="str">
        <x:v>Ireland residential-development public-record coverage matrix</x:v>
      </x:c>
      <x:c r="B1" s="3"/>
      <x:c r="C1" s="3"/>
      <x:c r="D1" s="3"/>
      <x:c r="E1" s="3"/>
      <x:c r="F1" s="3"/>
    </x:row>
    <x:row r="2" ht="26" customHeight="1">
      <x:c r="A2" s="6" t="str">
        <x:v>31 local authorities • focus: developments of 10+ homes • research checked 28 Sep 2026</x:v>
      </x:c>
      <x:c r="B2" s="6"/>
      <x:c r="C2" s="6"/>
      <x:c r="D2" s="6"/>
      <x:c r="E2" s="6"/>
      <x:c r="F2" s="6"/>
    </x:row>
    <x:row r="3">
      <x:c r="A3" s="19"/>
      <x:c r="B3" s="19"/>
      <x:c r="C3" s="19"/>
      <x:c r="D3" s="19"/>
      <x:c r="E3" s="19"/>
      <x:c r="F3" s="19"/>
    </x:row>
    <x:row r="4">
      <x:c r="A4" s="9" t="str">
        <x:v>Coverage measure</x:v>
      </x:c>
      <x:c r="B4" s="9" t="str">
        <x:v>Count</x:v>
      </x:c>
      <x:c r="C4" s="19"/>
      <x:c r="D4" s="19"/>
      <x:c r="E4" s="19"/>
      <x:c r="F4" s="19"/>
    </x:row>
    <x:row r="5">
      <x:c r="A5" s="20" t="str">
        <x:v>Local authorities</x:v>
      </x:c>
      <x:c r="B5" s="20" t="n">
        <x:f>COUNTA('Coverage matrix'!A2:A32)</x:f>
        <x:v>31</x:v>
      </x:c>
      <x:c r="C5" s="19"/>
      <x:c r="D5" s="19"/>
      <x:c r="E5" s="19"/>
      <x:c r="F5" s="19"/>
    </x:row>
    <x:row r="6">
      <x:c r="A6" s="20" t="str">
        <x:v>Pre-2014 commencement: online/partly online</x:v>
      </x:c>
      <x:c r="B6" s="20" t="n">
        <x:f>COUNTIF('Coverage matrix'!E2:E32,"Online archive located")+COUNTIF('Coverage matrix'!E2:E32,"Partly online")+COUNTIF('Coverage matrix'!E2:E32,"Online through planning")+COUNTIF('Coverage matrix'!E2:E32,"Likely online by year")</x:f>
        <x:v>4</x:v>
      </x:c>
      <x:c r="C6" s="19"/>
      <x:c r="D6" s="19"/>
      <x:c r="E6" s="19"/>
      <x:c r="F6" s="19"/>
    </x:row>
    <x:row r="7">
      <x:c r="A7" s="20" t="str">
        <x:v>Published TIC list/register</x:v>
      </x:c>
      <x:c r="B7" s="20" t="n">
        <x:f>COUNTIF('Coverage matrix'!J2:J32,"Published list")+COUNTIF('Coverage matrix'!J2:J32,"Published register")+COUNTIF('Coverage matrix'!J2:J32,"Detailed published register")+COUNTIF('Coverage matrix'!J2:J32,"Indicative published list")+COUNTIF('Coverage matrix'!J2:J32,"Published list / protocol")+COUNTIF('Coverage matrix'!J2:J32,"Published lists")</x:f>
        <x:v>10</x:v>
      </x:c>
      <x:c r="C7" s="19"/>
      <x:c r="D7" s="19"/>
      <x:c r="E7" s="19"/>
      <x:c r="F7" s="19"/>
    </x:row>
    <x:row r="8">
      <x:c r="A8" s="20" t="str">
        <x:v>High-priority archive requests</x:v>
      </x:c>
      <x:c r="B8" s="20" t="n">
        <x:f>COUNTIF('Coverage matrix'!Q2:Q32,"High")</x:f>
        <x:v>26</x:v>
      </x:c>
      <x:c r="C8" s="19"/>
      <x:c r="D8" s="19"/>
      <x:c r="E8" s="19"/>
      <x:c r="F8" s="19"/>
    </x:row>
    <x:row r="9">
      <x:c r="A9" s="20" t="str">
        <x:v>Authorities covered by 4Dublin 10+ pipeline</x:v>
      </x:c>
      <x:c r="B9" s="20" t="n">
        <x:f>COUNTIF('Coverage matrix'!M2:M32,"4Dublin Development Pipeline for 10+ units")</x:f>
        <x:v>4</x:v>
      </x:c>
      <x:c r="C9" s="19"/>
      <x:c r="D9" s="19"/>
      <x:c r="E9" s="19"/>
      <x:c r="F9" s="19"/>
    </x:row>
    <x:row r="10">
      <x:c r="A10" s="19"/>
      <x:c r="B10" s="19"/>
      <x:c r="C10" s="19"/>
      <x:c r="D10" s="19"/>
      <x:c r="E10" s="19"/>
      <x:c r="F10" s="19"/>
    </x:row>
    <x:row r="11" ht="15" hidden="0" customHeight="1">
      <x:c r="A11" s="15" t="str">
        <x:v>How to read the matrix</x:v>
      </x:c>
      <x:c r="B11" s="15" t="str">
        <x:v>Meaning</x:v>
      </x:c>
      <x:c r="C11" s="15" t="str">
        <x:v>Operational implication</x:v>
      </x:c>
      <x:c r="D11" s="15" t="str"/>
      <x:c r="E11" s="15" t="str"/>
      <x:c r="F11" s="15" t="str"/>
    </x:row>
    <x:row r="12" ht="15" hidden="0" customHeight="1">
      <x:c r="A12" s="21" t="str">
        <x:v>Online / partly online</x:v>
      </x:c>
      <x:c r="B12" s="21" t="str">
        <x:v>A discoverable council or national source was verified.</x:v>
      </x:c>
      <x:c r="C12" s="21" t="str">
        <x:v>Harvest first; preserve source URL and capture date.</x:v>
      </x:c>
      <x:c r="D12" s="21" t="str"/>
      <x:c r="E12" s="21" t="str"/>
      <x:c r="F12" s="21" t="str"/>
    </x:row>
    <x:row r="13" ht="15" hidden="0" customHeight="1">
      <x:c r="A13" s="21" t="str">
        <x:v>Not located online</x:v>
      </x:c>
      <x:c r="B13" s="21" t="str">
        <x:v>This sweep did not find a public online register.</x:v>
      </x:c>
      <x:c r="C13" s="21" t="str">
        <x:v>It is not evidence of non-existence; use inspection, access request or FOI.</x:v>
      </x:c>
      <x:c r="D13" s="21" t="str"/>
      <x:c r="E13" s="21" t="str"/>
      <x:c r="F13" s="21" t="str"/>
    </x:row>
    <x:row r="14" ht="15" hidden="0" customHeight="1">
      <x:c r="A14" s="21" t="str">
        <x:v>TIC list/register</x:v>
      </x:c>
      <x:c r="B14" s="21" t="str">
        <x:v>A hand-over signal, not proof that every dwelling was completed on the TIC date.</x:v>
      </x:c>
      <x:c r="C14" s="21" t="str">
        <x:v>Use as a late-stage milestone and check scope/exclusions.</x:v>
      </x:c>
      <x:c r="D14" s="21" t="str"/>
      <x:c r="E14" s="21" t="str"/>
      <x:c r="F14" s="21" t="str"/>
    </x:row>
    <x:row r="15" ht="26.399999618530273" hidden="0" customHeight="1">
      <x:c r="A15" s="21" t="str">
        <x:v>CN / CCC</x:v>
      </x:c>
      <x:c r="B15" s="21" t="str">
        <x:v>Commencement Notice is a start-intent signal; CCC registration is a completion/occupation signal.</x:v>
      </x:c>
      <x:c r="C15" s="21" t="str">
        <x:v>One notice may cover many units or phases; retain notice type, units and phase text.</x:v>
      </x:c>
      <x:c r="D15" s="21" t="str"/>
      <x:c r="E15" s="21" t="str"/>
      <x:c r="F15" s="21" t="str"/>
    </x:row>
    <x:row r="16" ht="26.399999618530273" hidden="0" customHeight="1">
      <x:c r="A16" s="21" t="str">
        <x:v>FSC / DAC</x:v>
      </x:c>
      <x:c r="B16" s="21" t="str">
        <x:v>Fire Safety and Disability Access applications are public-register categories.</x:v>
      </x:c>
      <x:c r="C16" s="21" t="str">
        <x:v>Register entries are generally public; underlying technical files may require inspection/request.</x:v>
      </x:c>
      <x:c r="D16" s="21" t="str"/>
      <x:c r="E16" s="21" t="str"/>
      <x:c r="F16" s="21" t="str"/>
    </x:row>
    <x:row r="17" ht="15" hidden="0" customHeight="1">
      <x:c r="A17" s="21" t="str">
        <x:v>10+ homes</x:v>
      </x:c>
      <x:c r="B17" s="21" t="str">
        <x:v>A research threshold, not a legal document threshold.</x:v>
      </x:c>
      <x:c r="C17" s="21" t="str">
        <x:v>Derive unit count from permission/description and reconcile amendments/phases.</x:v>
      </x:c>
      <x:c r="D17" s="21" t="str"/>
      <x:c r="E17" s="21" t="str"/>
      <x:c r="F17" s="21" t="str"/>
    </x:row>
    <x:row r="18" ht="26.399999618530273" hidden="0" customHeight="1">
      <x:c r="A18" s="21" t="str">
        <x:v>Confidence</x:v>
      </x:c>
      <x:c r="B18" s="21" t="str">
        <x:v>High = direct official evidence; Medium = partial/current evidence; Low = inference.</x:v>
      </x:c>
      <x:c r="C18" s="21" t="str">
        <x:v>Re-check links and archive policies before production ingestion.</x:v>
      </x:c>
      <x:c r="D18" s="21" t="str"/>
      <x:c r="E18" s="21" t="str"/>
      <x:c r="F18" s="21" t="str"/>
    </x:row>
    <x:row r="19" ht="15" hidden="0" customHeight="1">
      <x:c r="A19" s="19"/>
      <x:c r="B19" s="19"/>
      <x:c r="C19" s="19"/>
      <x:c r="D19" s="19"/>
      <x:c r="E19" s="19"/>
      <x:c r="F19" s="19"/>
    </x:row>
    <x:row r="20" ht="15" hidden="0" customHeight="1">
      <x:c r="A20" s="18" t="str">
        <x:v>Priority research sequence</x:v>
      </x:c>
      <x:c r="B20" s="18" t="str">
        <x:v>Why</x:v>
      </x:c>
      <x:c r="C20" s="18" t="str"/>
      <x:c r="D20" s="18" t="str"/>
      <x:c r="E20" s="18" t="str"/>
      <x:c r="F20" s="18" t="str"/>
    </x:row>
    <x:row r="21" ht="26.399999618530273" hidden="0" customHeight="1">
      <x:c r="A21" s="21" t="str">
        <x:v>1. Planning spine</x:v>
      </x:c>
      <x:c r="B21" s="21" t="str">
        <x:v>Create one canonical development/phase record from permissions, amendments, appeals and LRD/SHD/SID records.</x:v>
      </x:c>
      <x:c r="C21" s="21" t="str"/>
      <x:c r="D21" s="21" t="str"/>
      <x:c r="E21" s="21" t="str"/>
      <x:c r="F21" s="21" t="str"/>
    </x:row>
    <x:row r="22" ht="26.399999618530273" hidden="0" customHeight="1">
      <x:c r="A22" s="21" t="str">
        <x:v>2. Start events</x:v>
      </x:c>
      <x:c r="B22" s="21" t="str">
        <x:v>Attach pre-2014 council CN records and 2014+ NBCO commencement notices; use accepted/intended dates separately.</x:v>
      </x:c>
      <x:c r="C22" s="21" t="str"/>
      <x:c r="D22" s="21" t="str"/>
      <x:c r="E22" s="21" t="str"/>
      <x:c r="F22" s="21" t="str"/>
    </x:row>
    <x:row r="23" ht="26.399999618530273" hidden="0" customHeight="1">
      <x:c r="A23" s="21" t="str">
        <x:v>3. Completion events</x:v>
      </x:c>
      <x:c r="B23" s="21" t="str">
        <x:v>Attach CCC registrations, utility connections where obtainable, and address/occupancy proxies.</x:v>
      </x:c>
      <x:c r="C23" s="21" t="str"/>
      <x:c r="D23" s="21" t="str"/>
      <x:c r="E23" s="21" t="str"/>
      <x:c r="F23" s="21" t="str"/>
    </x:row>
    <x:row r="24" ht="26.399999618530273" hidden="0" customHeight="1">
      <x:c r="A24" s="21" t="str">
        <x:v>4. Hand-over/status</x:v>
      </x:c>
      <x:c r="B24" s="21" t="str">
        <x:v>Attach bonds, enforcement, unfinished-estate records, TIC requests, notices and resolutions.</x:v>
      </x:c>
      <x:c r="C24" s="21" t="str"/>
      <x:c r="D24" s="21" t="str"/>
      <x:c r="E24" s="21" t="str"/>
      <x:c r="F24" s="21" t="str"/>
    </x:row>
    <x:row r="25" ht="26.399999618530273" hidden="0" customHeight="1">
      <x:c r="A25" s="21" t="str">
        <x:v>5. Entity resolution</x:v>
      </x:c>
      <x:c r="B25" s="21" t="str">
        <x:v>Normalize legacy authorities, planning refs, site aliases, developer/CRO entities and multi-phase unit counts.</x:v>
      </x:c>
      <x:c r="C25" s="21" t="str"/>
      <x:c r="D25" s="21" t="str"/>
      <x:c r="E25" s="21" t="str"/>
      <x:c r="F25" s="21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8" hidden="0" customWidth="1"/>
    <x:col min="4" max="4" width="28" hidden="0" customWidth="1"/>
    <x:col min="5" max="5" width="20" hidden="0" customWidth="1"/>
    <x:col min="6" max="6" width="35" hidden="0" customWidth="1"/>
    <x:col min="7" max="7" width="31" hidden="0" customWidth="1"/>
    <x:col min="8" max="8" width="26" hidden="0" customWidth="1"/>
    <x:col min="9" max="9" width="26" hidden="0" customWidth="1"/>
    <x:col min="10" max="10" width="2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5" hidden="0" customWidth="1"/>
    <x:col min="17" max="17" width="15" hidden="0" customWidth="1"/>
    <x:col min="18" max="18" width="47" hidden="0" customWidth="1"/>
    <x:col min="19" max="19" width="35" hidden="0" customWidth="1"/>
  </x:cols>
  <x:sheetData>
    <x:row r="1" ht="42" customHeight="1">
      <x:c r="A1" s="24" t="str">
        <x:v>Authority</x:v>
      </x:c>
      <x:c r="B1" s="24" t="str">
        <x:v>Authority type</x:v>
      </x:c>
      <x:c r="C1" s="24" t="str">
        <x:v>Planning access</x:v>
      </x:c>
      <x:c r="D1" s="24" t="str">
        <x:v>Planning depth verified</x:v>
      </x:c>
      <x:c r="E1" s="24" t="str">
        <x:v>Pre-2014 commencement status</x:v>
      </x:c>
      <x:c r="F1" s="24" t="str">
        <x:v>Historic commencement route</x:v>
      </x:c>
      <x:c r="G1" s="24" t="str">
        <x:v>2014+ commencement/completion</x:v>
      </x:c>
      <x:c r="H1" s="24" t="str">
        <x:v>Local building-control layer</x:v>
      </x:c>
      <x:c r="I1" s="24" t="str">
        <x:v>Fire / DAC access</x:v>
      </x:c>
      <x:c r="J1" s="24" t="str">
        <x:v>Taking-in-charge publication</x:v>
      </x:c>
      <x:c r="K1" s="24" t="str">
        <x:v>Taking-in-charge route</x:v>
      </x:c>
      <x:c r="L1" s="24" t="str">
        <x:v>Derelict / vacant access</x:v>
      </x:c>
      <x:c r="M1" s="24" t="str">
        <x:v>Housing pipeline layer</x:v>
      </x:c>
      <x:c r="N1" s="24" t="str">
        <x:v>Enforcement / notices</x:v>
      </x:c>
      <x:c r="O1" s="24" t="str">
        <x:v>Recommended acquisition action</x:v>
      </x:c>
      <x:c r="P1" s="24" t="str">
        <x:v>Evidence confidence</x:v>
      </x:c>
      <x:c r="Q1" s="24" t="str">
        <x:v>Archive request priority</x:v>
      </x:c>
      <x:c r="R1" s="24" t="str">
        <x:v>Primary official source</x:v>
      </x:c>
      <x:c r="S1" s="24" t="str">
        <x:v>Research note</x:v>
      </x:c>
    </x:row>
    <x:row r="2" ht="70" customHeight="1">
      <x:c r="A2" s="27" t="str">
        <x:v>Carlow</x:v>
      </x:c>
      <x:c r="B2" s="27" t="str">
        <x:v>County</x:v>
      </x:c>
      <x:c r="C2" s="27" t="str">
        <x:v>NPAD gives a national merged planning register from 2012; council archive may go earlier</x:v>
      </x:c>
      <x:c r="D2" s="27" t="str">
        <x:v>Local planning search; earliest online document year not verified</x:v>
      </x:c>
      <x:c r="E2" s="27" t="str">
        <x:v>Not located online</x:v>
      </x:c>
      <x:c r="F2" s="27" t="str">
        <x:v>Ask Building Control for the pre-1 Mar 2014 statutory register and copies by planning reference/site</x:v>
      </x:c>
      <x:c r="G2" s="27" t="str">
        <x:v>National NBCO dataset / public register covers all 31 authorities from 1 Mar 2014</x:v>
      </x:c>
      <x:c r="H2" s="27" t="str">
        <x:v>National only located</x:v>
      </x:c>
      <x:c r="I2" s="27" t="str">
        <x:v>Register entry should exist; local FSC/DAC file access not verified</x:v>
      </x:c>
      <x:c r="J2" s="27" t="str">
        <x:v>Notices / request route</x:v>
      </x:c>
      <x:c r="K2" s="27" t="str">
        <x:v>Council statutory notices and TIC request page</x:v>
      </x:c>
      <x:c r="L2" s="27" t="str">
        <x:v>Statutory registers; online dataset not verified</x:v>
      </x:c>
      <x:c r="M2" s="27" t="str">
        <x:v>No dedicated project pipeline located</x:v>
      </x:c>
      <x:c r="N2" s="27" t="str">
        <x:v>Statutory notices and planning enforcement</x:v>
      </x:c>
      <x:c r="O2" s="27" t="str">
        <x:v>Targeted register extract + file inspection/FOI for pre-2014 CN, FSC, DAC and CCC</x:v>
      </x:c>
      <x:c r="P2" s="27" t="str">
        <x:v>Medium</x:v>
      </x:c>
      <x:c r="Q2" s="27" t="str">
        <x:v>High</x:v>
      </x:c>
      <x:c r="R2" s="27" t="str">
        <x:v>https://carlow.ie/planning-and-building/development-management/taking-charge-estates-request</x:v>
      </x:c>
      <x:c r="S2" s="27" t="str">
        <x:v>Do not treat 'not located online' as absence.</x:v>
      </x:c>
    </x:row>
    <x:row r="3" ht="70" customHeight="1">
      <x:c r="A3" s="27" t="str">
        <x:v>Cavan</x:v>
      </x:c>
      <x:c r="B3" s="27" t="str">
        <x:v>County</x:v>
      </x:c>
      <x:c r="C3" s="27" t="str">
        <x:v>NPAD gives a national merged planning register from 2012; council archive may go earlier</x:v>
      </x:c>
      <x:c r="D3" s="27" t="str">
        <x:v>Council planning search available; earliest online document year not verified</x:v>
      </x:c>
      <x:c r="E3" s="27" t="str">
        <x:v>Not located online</x:v>
      </x:c>
      <x:c r="F3" s="27" t="str">
        <x:v>Request historic Building Control register/file access</x:v>
      </x:c>
      <x:c r="G3" s="27" t="str">
        <x:v>National NBCO dataset / public register covers all 31 authorities from 1 Mar 2014</x:v>
      </x:c>
      <x:c r="H3" s="27" t="str">
        <x:v>National only located</x:v>
      </x:c>
      <x:c r="I3" s="27" t="str">
        <x:v>Current applications handled by Building Control/Fire; public file route not verified</x:v>
      </x:c>
      <x:c r="J3" s="27" t="str">
        <x:v>Policy / notices</x:v>
      </x:c>
      <x:c r="K3" s="27" t="str">
        <x:v>Council TIC process and council-meeting notices</x:v>
      </x:c>
      <x:c r="L3" s="27" t="str">
        <x:v>Statutory registers; online dataset not verified</x:v>
      </x:c>
      <x:c r="M3" s="27" t="str">
        <x:v>No dedicated project pipeline located</x:v>
      </x:c>
      <x:c r="N3" s="27" t="str">
        <x:v>Planning search and public notices</x:v>
      </x:c>
      <x:c r="O3" s="27" t="str">
        <x:v>Request pre-2014 register fields first; then copies only for ≥10-unit matches</x:v>
      </x:c>
      <x:c r="P3" s="27" t="str">
        <x:v>Medium</x:v>
      </x:c>
      <x:c r="Q3" s="27" t="str">
        <x:v>High</x:v>
      </x:c>
      <x:c r="R3" s="27" t="str">
        <x:v>https://www.cavancoco.ie/services/planning-building/building-control/commencement-notice-7-day-notice/</x:v>
      </x:c>
      <x:c r="S3" s="27" t="str">
        <x:v>Current commencement process verified; historic publication not located.</x:v>
      </x:c>
    </x:row>
    <x:row r="4" ht="70" customHeight="1">
      <x:c r="A4" s="27" t="str">
        <x:v>Clare</x:v>
      </x:c>
      <x:c r="B4" s="27" t="str">
        <x:v>County</x:v>
      </x:c>
      <x:c r="C4" s="27" t="str">
        <x:v>NPAD gives a national merged planning register from 2012; council archive may go earlier</x:v>
      </x:c>
      <x:c r="D4" s="27" t="str">
        <x:v>Planning lists/search available; earliest online document year not verified</x:v>
      </x:c>
      <x:c r="E4" s="27" t="str">
        <x:v>Not located online</x:v>
      </x:c>
      <x:c r="F4" s="27" t="str">
        <x:v>Request historic register/file inspection</x:v>
      </x:c>
      <x:c r="G4" s="27" t="str">
        <x:v>National NBCO dataset / public register covers all 31 authorities from 1 Mar 2014</x:v>
      </x:c>
      <x:c r="H4" s="27" t="str">
        <x:v>National only located</x:v>
      </x:c>
      <x:c r="I4" s="27" t="str">
        <x:v>Current register route via NBCO; local file access not verified</x:v>
      </x:c>
      <x:c r="J4" s="27" t="str">
        <x:v>Policy / process</x:v>
      </x:c>
      <x:c r="K4" s="27" t="str">
        <x:v>Taking-in-charge service page; individual decisions in notices/reports</x:v>
      </x:c>
      <x:c r="L4" s="27" t="str">
        <x:v>Statutory registers; online dataset not verified</x:v>
      </x:c>
      <x:c r="M4" s="27" t="str">
        <x:v>Chief Executive reports contain estate progress</x:v>
      </x:c>
      <x:c r="N4" s="27" t="str">
        <x:v>Planning lists, reports and enforcement outputs</x:v>
      </x:c>
      <x:c r="O4" s="27" t="str">
        <x:v>Request machine-readable CN/TIC schedule for 2000-2014 and current live TIC cases</x:v>
      </x:c>
      <x:c r="P4" s="27" t="str">
        <x:v>Medium</x:v>
      </x:c>
      <x:c r="Q4" s="27" t="str">
        <x:v>High</x:v>
      </x:c>
      <x:c r="R4" s="27" t="str">
        <x:v>https://www.clarecoco.ie/planning-and-building/building-control/commencement-notices</x:v>
      </x:c>
      <x:c r="S4" s="27" t="str">
        <x:v>Council confirms current CN process; no historic online register located.</x:v>
      </x:c>
    </x:row>
    <x:row r="5" ht="70" customHeight="1">
      <x:c r="A5" s="27" t="str">
        <x:v>Cork City</x:v>
      </x:c>
      <x:c r="B5" s="27" t="str">
        <x:v>City</x:v>
      </x:c>
      <x:c r="C5" s="27" t="str">
        <x:v>NPAD gives a national merged planning register from 2012; council archive may go earlier</x:v>
      </x:c>
      <x:c r="D5" s="27" t="str">
        <x:v>Local planning search and records classes published</x:v>
      </x:c>
      <x:c r="E5" s="27" t="str">
        <x:v>Not located online</x:v>
      </x:c>
      <x:c r="F5" s="27" t="str">
        <x:v>Ask Building Control for historic CN register; council records schedule identifies relevant record classes</x:v>
      </x:c>
      <x:c r="G5" s="27" t="str">
        <x:v>National NBCO dataset / public register covers all 31 authorities from 1 Mar 2014</x:v>
      </x:c>
      <x:c r="H5" s="27" t="str">
        <x:v>Some local open data</x:v>
      </x:c>
      <x:c r="I5" s="27" t="str">
        <x:v>Council records include FSC, DAC, CN and completion registers</x:v>
      </x:c>
      <x:c r="J5" s="27" t="str">
        <x:v>Process / notices</x:v>
      </x:c>
      <x:c r="K5" s="27" t="str">
        <x:v>Taking-in-charge page and notices; consolidated list not located</x:v>
      </x:c>
      <x:c r="L5" s="27" t="str">
        <x:v>Derelict Sites Register view plus open dataset</x:v>
      </x:c>
      <x:c r="M5" s="27" t="str">
        <x:v>No complete private-development pipeline located</x:v>
      </x:c>
      <x:c r="N5" s="27" t="str">
        <x:v>Enforcement, dangerous structures and public notices</x:v>
      </x:c>
      <x:c r="O5" s="27" t="str">
        <x:v>Combine Building Control register request with open derelict/vacant data and planning search</x:v>
      </x:c>
      <x:c r="P5" s="27" t="str">
        <x:v>High</x:v>
      </x:c>
      <x:c r="Q5" s="27" t="str">
        <x:v>High</x:v>
      </x:c>
      <x:c r="R5" s="27" t="str">
        <x:v>https://www.corkcity.ie/en/council-services/services/planning/derelict-vacant-sites-rzlt-and-grants/derelict-sites/</x:v>
      </x:c>
      <x:c r="S5" s="27" t="str">
        <x:v>One of the stronger local open-data environments, but pre-2014 CN still needs an archive request.</x:v>
      </x:c>
    </x:row>
    <x:row r="6" ht="70" customHeight="1">
      <x:c r="A6" s="27" t="str">
        <x:v>Cork County</x:v>
      </x:c>
      <x:c r="B6" s="27" t="str">
        <x:v>County</x:v>
      </x:c>
      <x:c r="C6" s="27" t="str">
        <x:v>NPAD gives a national merged planning register from 2012; council archive may go earlier</x:v>
      </x:c>
      <x:c r="D6" s="27" t="str">
        <x:v>Council planning search; earliest online document year not verified</x:v>
      </x:c>
      <x:c r="E6" s="27" t="str">
        <x:v>Not located online</x:v>
      </x:c>
      <x:c r="F6" s="27" t="str">
        <x:v>Request historic Building Control register/file access</x:v>
      </x:c>
      <x:c r="G6" s="27" t="str">
        <x:v>National NBCO dataset / public register covers all 31 authorities from 1 Mar 2014</x:v>
      </x:c>
      <x:c r="H6" s="27" t="str">
        <x:v>National only located</x:v>
      </x:c>
      <x:c r="I6" s="27" t="str">
        <x:v>Public register/file inspection route not verified online</x:v>
      </x:c>
      <x:c r="J6" s="27" t="str">
        <x:v>Process / meeting records</x:v>
      </x:c>
      <x:c r="K6" s="27" t="str">
        <x:v>TIC applications appear in council records; consolidated public list not located</x:v>
      </x:c>
      <x:c r="L6" s="27" t="str">
        <x:v>Derelict Sites Register list published</x:v>
      </x:c>
      <x:c r="M6" s="27" t="str">
        <x:v>No dedicated project pipeline located</x:v>
      </x:c>
      <x:c r="N6" s="27" t="str">
        <x:v>Planning search, municipal notices and enforcement</x:v>
      </x:c>
      <x:c r="O6" s="27" t="str">
        <x:v>Request historic CN and TIC master schedules; prioritize major towns and ≥10-unit permissions</x:v>
      </x:c>
      <x:c r="P6" s="27" t="str">
        <x:v>Medium</x:v>
      </x:c>
      <x:c r="Q6" s="27" t="str">
        <x:v>High</x:v>
      </x:c>
      <x:c r="R6" s="27" t="str">
        <x:v>https://www.corkcoco.ie/en/resident/municipal-districts/derelict-sites-dangerous-structures/derelict-sites-register-list</x:v>
      </x:c>
      <x:c r="S6" s="27" t="str">
        <x:v>Large geography: use phased requests by municipal district if necessary.</x:v>
      </x:c>
    </x:row>
    <x:row r="7" ht="70" customHeight="1">
      <x:c r="A7" s="27" t="str">
        <x:v>Donegal</x:v>
      </x:c>
      <x:c r="B7" s="27" t="str">
        <x:v>County</x:v>
      </x:c>
      <x:c r="C7" s="27" t="str">
        <x:v>Local planning search and digitised planning files</x:v>
      </x:c>
      <x:c r="D7" s="27" t="str">
        <x:v>Historic digital planning archive verified; exact starting year varies by file</x:v>
      </x:c>
      <x:c r="E7" s="27" t="str">
        <x:v>Online archive located</x:v>
      </x:c>
      <x:c r="F7" s="27" t="str">
        <x:v>Council Building Control page links an archived commencement register up to Feb 2014</x:v>
      </x:c>
      <x:c r="G7" s="27" t="str">
        <x:v>National NBCO dataset / public register covers all 31 authorities from 1 Mar 2014</x:v>
      </x:c>
      <x:c r="H7" s="27" t="str">
        <x:v>Historic local archive</x:v>
      </x:c>
      <x:c r="I7" s="27" t="str">
        <x:v>Current register via NBCO; file copies through council</x:v>
      </x:c>
      <x:c r="J7" s="27" t="str">
        <x:v>Process / notices</x:v>
      </x:c>
      <x:c r="K7" s="27" t="str">
        <x:v>Taking-in-charge service page and notices</x:v>
      </x:c>
      <x:c r="L7" s="27" t="str">
        <x:v>Planning/vacant-site registers available</x:v>
      </x:c>
      <x:c r="M7" s="27" t="str">
        <x:v>No dedicated project pipeline located</x:v>
      </x:c>
      <x:c r="N7" s="27" t="str">
        <x:v>Planning files and public notices</x:v>
      </x:c>
      <x:c r="O7" s="27" t="str">
        <x:v>Harvest archived CN first, then reconcile to planning references and NBCO</x:v>
      </x:c>
      <x:c r="P7" s="27" t="str">
        <x:v>High</x:v>
      </x:c>
      <x:c r="Q7" s="27" t="str">
        <x:v>Low</x:v>
      </x:c>
      <x:c r="R7" s="27" t="str">
        <x:v>https://www.donegalcoco.ie/services/planning/building-control</x:v>
      </x:c>
      <x:c r="S7" s="27" t="str">
        <x:v>Rare example of an explicitly linked pre-2014 commencement archive.</x:v>
      </x:c>
    </x:row>
    <x:row r="8" ht="70" customHeight="1">
      <x:c r="A8" s="27" t="str">
        <x:v>Dublin City</x:v>
      </x:c>
      <x:c r="B8" s="27" t="str">
        <x:v>City</x:v>
      </x:c>
      <x:c r="C8" s="27" t="str">
        <x:v>Full planning search plus historic weekly/annual material</x:v>
      </x:c>
      <x:c r="D8" s="27" t="str">
        <x:v>Historic commencement PDFs verified for 2000-2005; other years require inspection/request</x:v>
      </x:c>
      <x:c r="E8" s="27" t="str">
        <x:v>Partly online</x:v>
      </x:c>
      <x:c r="F8" s="27" t="str">
        <x:v>Use 2000-2005 PDFs, then request remaining pre-2014 records; current page says records are available for office inspection</x:v>
      </x:c>
      <x:c r="G8" s="27" t="str">
        <x:v>National NBCO dataset / public register covers all 31 authorities from 1 Mar 2014</x:v>
      </x:c>
      <x:c r="H8" s="27" t="str">
        <x:v>Local open spatial data</x:v>
      </x:c>
      <x:c r="I8" s="27" t="str">
        <x:v>FSC/DAC/CCC register routes published</x:v>
      </x:c>
      <x:c r="J8" s="27" t="str">
        <x:v>Policy / process</x:v>
      </x:c>
      <x:c r="K8" s="27" t="str">
        <x:v>Bonds and TIC process; decisions in council records</x:v>
      </x:c>
      <x:c r="L8" s="27" t="str">
        <x:v>Open spatial/derelict/vacant datasets</x:v>
      </x:c>
      <x:c r="M8" s="27" t="str">
        <x:v>4Dublin Development Pipeline for 10+ units</x:v>
      </x:c>
      <x:c r="N8" s="27" t="str">
        <x:v>Planning enforcement and open-data layers</x:v>
      </x:c>
      <x:c r="O8" s="27" t="str">
        <x:v>Use 4Dublin as spine; append CN/CCC, historic CN, FSC/DAC, bonds and TIC</x:v>
      </x:c>
      <x:c r="P8" s="27" t="str">
        <x:v>High</x:v>
      </x:c>
      <x:c r="Q8" s="27" t="str">
        <x:v>Medium</x:v>
      </x:c>
      <x:c r="R8" s="27" t="str">
        <x:v>https://www.dublincity.ie/construction/building-control/commencement-notices</x:v>
      </x:c>
      <x:c r="S8" s="27" t="str">
        <x:v>Best-developed multi-source environment; pre-2014 gap is narrower but still material.</x:v>
      </x:c>
    </x:row>
    <x:row r="9" ht="70" customHeight="1">
      <x:c r="A9" s="27" t="str">
        <x:v>Dún Laoghaire–Rathdown</x:v>
      </x:c>
      <x:c r="B9" s="27" t="str">
        <x:v>County</x:v>
      </x:c>
      <x:c r="C9" s="27" t="str">
        <x:v>Council planning search and LRD material</x:v>
      </x:c>
      <x:c r="D9" s="27" t="str">
        <x:v>Earliest online document year not verified</x:v>
      </x:c>
      <x:c r="E9" s="27" t="str">
        <x:v>Not located online</x:v>
      </x:c>
      <x:c r="F9" s="27" t="str">
        <x:v>Request historic Building Control register/file access</x:v>
      </x:c>
      <x:c r="G9" s="27" t="str">
        <x:v>National NBCO dataset / public register covers all 31 authorities from 1 Mar 2014</x:v>
      </x:c>
      <x:c r="H9" s="27" t="str">
        <x:v>National current register</x:v>
      </x:c>
      <x:c r="I9" s="27" t="str">
        <x:v>Current FSC/DAC services published</x:v>
      </x:c>
      <x:c r="J9" s="27" t="str">
        <x:v>Policy / process</x:v>
      </x:c>
      <x:c r="K9" s="27" t="str">
        <x:v>TIC policy and council decisions; consolidated list not located</x:v>
      </x:c>
      <x:c r="L9" s="27" t="str">
        <x:v>Statutory registers; online dataset not verified</x:v>
      </x:c>
      <x:c r="M9" s="27" t="str">
        <x:v>4Dublin Development Pipeline for 10+ units</x:v>
      </x:c>
      <x:c r="N9" s="27" t="str">
        <x:v>Planning enforcement and public notices</x:v>
      </x:c>
      <x:c r="O9" s="27" t="str">
        <x:v>Use 4Dublin spine; request pre-2014 CN plus TIC/bond status schedule</x:v>
      </x:c>
      <x:c r="P9" s="27" t="str">
        <x:v>Medium</x:v>
      </x:c>
      <x:c r="Q9" s="27" t="str">
        <x:v>High</x:v>
      </x:c>
      <x:c r="R9" s="27" t="str">
        <x:v>https://www.dlrcoco.ie/building-control/commencement-notice</x:v>
      </x:c>
      <x:c r="S9" s="27" t="str">
        <x:v>Current service verified; historic register publication not located.</x:v>
      </x:c>
    </x:row>
    <x:row r="10" ht="70" customHeight="1">
      <x:c r="A10" s="27" t="str">
        <x:v>Fingal</x:v>
      </x:c>
      <x:c r="B10" s="27" t="str">
        <x:v>County</x:v>
      </x:c>
      <x:c r="C10" s="27" t="str">
        <x:v>Council planning search and open-data portal</x:v>
      </x:c>
      <x:c r="D10" s="27" t="str">
        <x:v>Earliest online document year not verified</x:v>
      </x:c>
      <x:c r="E10" s="27" t="str">
        <x:v>Not located online</x:v>
      </x:c>
      <x:c r="F10" s="27" t="str">
        <x:v>Request historic register/file access</x:v>
      </x:c>
      <x:c r="G10" s="27" t="str">
        <x:v>National NBCO dataset / public register covers all 31 authorities from 1 Mar 2014</x:v>
      </x:c>
      <x:c r="H10" s="27" t="str">
        <x:v>Local open building-control dataset</x:v>
      </x:c>
      <x:c r="I10" s="27" t="str">
        <x:v>Current register and application datasets available</x:v>
      </x:c>
      <x:c r="J10" s="27" t="str">
        <x:v>Process / project folders</x:v>
      </x:c>
      <x:c r="K10" s="27" t="str">
        <x:v>TIC folder starts when a CN for 2+ houses is created; policies/checklists published</x:v>
      </x:c>
      <x:c r="L10" s="27" t="str">
        <x:v>Statutory registers; online datasets vary</x:v>
      </x:c>
      <x:c r="M10" s="27" t="str">
        <x:v>4Dublin Development Pipeline for 10+ units</x:v>
      </x:c>
      <x:c r="N10" s="27" t="str">
        <x:v>Open data, planning search and notices</x:v>
      </x:c>
      <x:c r="O10" s="27" t="str">
        <x:v>Use 4Dublin + Fingal building-control data; request historic CN/TIC outcomes</x:v>
      </x:c>
      <x:c r="P10" s="27" t="str">
        <x:v>High</x:v>
      </x:c>
      <x:c r="Q10" s="27" t="str">
        <x:v>Medium</x:v>
      </x:c>
      <x:c r="R10" s="27" t="str">
        <x:v>https://www.fingal.ie/housing-fingal/taking-charge-information</x:v>
      </x:c>
      <x:c r="S10" s="27" t="str">
        <x:v>TIC page describes a useful internal lifecycle signal tied to commencement.</x:v>
      </x:c>
    </x:row>
    <x:row r="11" ht="70" customHeight="1">
      <x:c r="A11" s="27" t="str">
        <x:v>Galway City</x:v>
      </x:c>
      <x:c r="B11" s="27" t="str">
        <x:v>City</x:v>
      </x:c>
      <x:c r="C11" s="27" t="str">
        <x:v>Online planning map/search</x:v>
      </x:c>
      <x:c r="D11" s="27" t="str">
        <x:v>Council states online planning files cover roughly the last 10 years</x:v>
      </x:c>
      <x:c r="E11" s="27" t="str">
        <x:v>Not located online</x:v>
      </x:c>
      <x:c r="F11" s="27" t="str">
        <x:v>Request older planning and Building Control records</x:v>
      </x:c>
      <x:c r="G11" s="27" t="str">
        <x:v>National NBCO dataset / public register covers all 31 authorities from 1 Mar 2014</x:v>
      </x:c>
      <x:c r="H11" s="27" t="str">
        <x:v>National only located</x:v>
      </x:c>
      <x:c r="I11" s="27" t="str">
        <x:v>Building-control service page; current register route</x:v>
      </x:c>
      <x:c r="J11" s="27" t="str">
        <x:v>Published list</x:v>
      </x:c>
      <x:c r="K11" s="27" t="str">
        <x:v>Housing estates taken in charge list (May 2024) and bond-release forms</x:v>
      </x:c>
      <x:c r="L11" s="27" t="str">
        <x:v>Statutory registers; online dataset not verified</x:v>
      </x:c>
      <x:c r="M11" s="27" t="str">
        <x:v>No complete private-development pipeline located</x:v>
      </x:c>
      <x:c r="N11" s="27" t="str">
        <x:v>Planning repository, map and notices</x:v>
      </x:c>
      <x:c r="O11" s="27" t="str">
        <x:v>Acquire historic CN/TIC schedule and older planning documents in batches</x:v>
      </x:c>
      <x:c r="P11" s="27" t="str">
        <x:v>High</x:v>
      </x:c>
      <x:c r="Q11" s="27" t="str">
        <x:v>High</x:v>
      </x:c>
      <x:c r="R11" s="27" t="str">
        <x:v>https://www.galwaycity.ie/services/planning-and-building/taking-in-charge-of-estates</x:v>
      </x:c>
      <x:c r="S11" s="27" t="str">
        <x:v>TIC list is a strong completion/hand-over signal.</x:v>
      </x:c>
    </x:row>
    <x:row r="12" ht="70" customHeight="1">
      <x:c r="A12" s="27" t="str">
        <x:v>Galway County</x:v>
      </x:c>
      <x:c r="B12" s="27" t="str">
        <x:v>County</x:v>
      </x:c>
      <x:c r="C12" s="27" t="str">
        <x:v>NPAD gives a national merged planning register from 2012; council archive may go earlier</x:v>
      </x:c>
      <x:c r="D12" s="27" t="str">
        <x:v>Council planning search; earliest online document year not verified</x:v>
      </x:c>
      <x:c r="E12" s="27" t="str">
        <x:v>Not located online</x:v>
      </x:c>
      <x:c r="F12" s="27" t="str">
        <x:v>Request historic Building Control register/file access</x:v>
      </x:c>
      <x:c r="G12" s="27" t="str">
        <x:v>National NBCO dataset / public register covers all 31 authorities from 1 Mar 2014</x:v>
      </x:c>
      <x:c r="H12" s="27" t="str">
        <x:v>National only located</x:v>
      </x:c>
      <x:c r="I12" s="27" t="str">
        <x:v>Current register via NBCO</x:v>
      </x:c>
      <x:c r="J12" s="27" t="str">
        <x:v>Published register</x:v>
      </x:c>
      <x:c r="K12" s="27" t="str">
        <x:v>Estates taken in charge to date (June 2026)</x:v>
      </x:c>
      <x:c r="L12" s="27" t="str">
        <x:v>Statutory registers; online dataset not verified</x:v>
      </x:c>
      <x:c r="M12" s="27" t="str">
        <x:v>No dedicated project pipeline located</x:v>
      </x:c>
      <x:c r="N12" s="27" t="str">
        <x:v>Planning search and public notices</x:v>
      </x:c>
      <x:c r="O12" s="27" t="str">
        <x:v>Use current TIC register; request pre-2014 CN and historic TIC dates</x:v>
      </x:c>
      <x:c r="P12" s="27" t="str">
        <x:v>High</x:v>
      </x:c>
      <x:c r="Q12" s="27" t="str">
        <x:v>High</x:v>
      </x:c>
      <x:c r="R12" s="27" t="str">
        <x:v>https://www.galway.ie/en/planning-building/development-management/taking-charge-completed-residential-developments</x:v>
      </x:c>
      <x:c r="S12" s="27" t="str">
        <x:v>Register publication is unusually clear and current.</x:v>
      </x:c>
    </x:row>
    <x:row r="13" ht="70" customHeight="1">
      <x:c r="A13" s="27" t="str">
        <x:v>Kerry</x:v>
      </x:c>
      <x:c r="B13" s="27" t="str">
        <x:v>County</x:v>
      </x:c>
      <x:c r="C13" s="27" t="str">
        <x:v>Council planning search</x:v>
      </x:c>
      <x:c r="D13" s="27" t="str">
        <x:v>Earliest online document year not verified</x:v>
      </x:c>
      <x:c r="E13" s="27" t="str">
        <x:v>Not located online</x:v>
      </x:c>
      <x:c r="F13" s="27" t="str">
        <x:v>Request historic register/file access</x:v>
      </x:c>
      <x:c r="G13" s="27" t="str">
        <x:v>National NBCO dataset / public register covers all 31 authorities from 1 Mar 2014</x:v>
      </x:c>
      <x:c r="H13" s="27" t="str">
        <x:v>National only located</x:v>
      </x:c>
      <x:c r="I13" s="27" t="str">
        <x:v>Current register via NBCO</x:v>
      </x:c>
      <x:c r="J13" s="27" t="str">
        <x:v>Year-by-year notices</x:v>
      </x:c>
      <x:c r="K13" s="27" t="str">
        <x:v>Housing-estates page links TIC actions for 2024-2026</x:v>
      </x:c>
      <x:c r="L13" s="27" t="str">
        <x:v>Vacant-sites material published</x:v>
      </x:c>
      <x:c r="M13" s="27" t="str">
        <x:v>No dedicated project pipeline located</x:v>
      </x:c>
      <x:c r="N13" s="27" t="str">
        <x:v>Planning search and notices</x:v>
      </x:c>
      <x:c r="O13" s="27" t="str">
        <x:v>Build TIC event history from annual notices; request master list and historic CN</x:v>
      </x:c>
      <x:c r="P13" s="27" t="str">
        <x:v>High</x:v>
      </x:c>
      <x:c r="Q13" s="27" t="str">
        <x:v>High</x:v>
      </x:c>
      <x:c r="R13" s="27" t="str">
        <x:v>https://www.kerrycoco.ie/planning/development-management/housing-estates/</x:v>
      </x:c>
      <x:c r="S13" s="27" t="str">
        <x:v>Annual TIC notices are useful but are not a complete master register.</x:v>
      </x:c>
    </x:row>
    <x:row r="14" ht="70" customHeight="1">
      <x:c r="A14" s="27" t="str">
        <x:v>Kildare</x:v>
      </x:c>
      <x:c r="B14" s="27" t="str">
        <x:v>County</x:v>
      </x:c>
      <x:c r="C14" s="27" t="str">
        <x:v>Online planning enquiries</x:v>
      </x:c>
      <x:c r="D14" s="27" t="str">
        <x:v>Pre-2014 commencement notices explicitly available through planning enquiries</x:v>
      </x:c>
      <x:c r="E14" s="27" t="str">
        <x:v>Online through planning</x:v>
      </x:c>
      <x:c r="F14" s="27" t="str">
        <x:v>Search planning enquiries; use council access-request portal for missing records</x:v>
      </x:c>
      <x:c r="G14" s="27" t="str">
        <x:v>National NBCO dataset / public register covers all 31 authorities from 1 Mar 2014</x:v>
      </x:c>
      <x:c r="H14" s="27" t="str">
        <x:v>National + historic local route</x:v>
      </x:c>
      <x:c r="I14" s="27" t="str">
        <x:v>Public access page covers CN/7-day/CCC; FSC/DAC via council</x:v>
      </x:c>
      <x:c r="J14" s="27" t="str">
        <x:v>Published list</x:v>
      </x:c>
      <x:c r="K14" s="27" t="str">
        <x:v>Estates taken in charge list current to Apr 2026 plus not-taken-in-charge list/open data</x:v>
      </x:c>
      <x:c r="L14" s="27" t="str">
        <x:v>Statutory registers; online datasets vary</x:v>
      </x:c>
      <x:c r="M14" s="27" t="str">
        <x:v>Local open-data lists plus planning pipeline sources</x:v>
      </x:c>
      <x:c r="N14" s="27" t="str">
        <x:v>Planning search and notices</x:v>
      </x:c>
      <x:c r="O14" s="27" t="str">
        <x:v>Harvest historic CN from planning; join published TIC/not-TIC datasets</x:v>
      </x:c>
      <x:c r="P14" s="27" t="str">
        <x:v>High</x:v>
      </x:c>
      <x:c r="Q14" s="27" t="str">
        <x:v>Low</x:v>
      </x:c>
      <x:c r="R14" s="27" t="str">
        <x:v>https://kildarecoco.ie/AllServices/BuildingandDevelopmentControl/BuildingControl/PublicAccesstoBuildingControlRecords/</x:v>
      </x:c>
      <x:c r="S14" s="27" t="str">
        <x:v>Strongest explicit council guidance for pre-2014 access.</x:v>
      </x:c>
    </x:row>
    <x:row r="15" ht="70" customHeight="1">
      <x:c r="A15" s="27" t="str">
        <x:v>Kilkenny</x:v>
      </x:c>
      <x:c r="B15" s="27" t="str">
        <x:v>County</x:v>
      </x:c>
      <x:c r="C15" s="27" t="str">
        <x:v>Council planning search</x:v>
      </x:c>
      <x:c r="D15" s="27" t="str">
        <x:v>Council site indexes commencement notices by year; depth needs verification</x:v>
      </x:c>
      <x:c r="E15" s="27" t="str">
        <x:v>Likely online by year</x:v>
      </x:c>
      <x:c r="F15" s="27" t="str">
        <x:v>Harvest year pages; request missing registers/files</x:v>
      </x:c>
      <x:c r="G15" s="27" t="str">
        <x:v>National NBCO dataset / public register covers all 31 authorities from 1 Mar 2014</x:v>
      </x:c>
      <x:c r="H15" s="27" t="str">
        <x:v>Historic local pages</x:v>
      </x:c>
      <x:c r="I15" s="27" t="str">
        <x:v>Current register via NBCO</x:v>
      </x:c>
      <x:c r="J15" s="27" t="str">
        <x:v>Detailed published register</x:v>
      </x:c>
      <x:c r="K15" s="27" t="str">
        <x:v>List includes file ref, estate, address range, unit count and TIC date</x:v>
      </x:c>
      <x:c r="L15" s="27" t="str">
        <x:v>Statutory registers; online dataset not verified</x:v>
      </x:c>
      <x:c r="M15" s="27" t="str">
        <x:v>No dedicated project pipeline located</x:v>
      </x:c>
      <x:c r="N15" s="27" t="str">
        <x:v>Planning search, current applications and roads map</x:v>
      </x:c>
      <x:c r="O15" s="27" t="str">
        <x:v>Exploit unit-count/TIC-date register; verify and harvest CN year pages</x:v>
      </x:c>
      <x:c r="P15" s="27" t="str">
        <x:v>High</x:v>
      </x:c>
      <x:c r="Q15" s="27" t="str">
        <x:v>Low</x:v>
      </x:c>
      <x:c r="R15" s="27" t="str">
        <x:v>https://kilkennycoco.ie/eng/services/planning/planning-applications/taking-in-charge-of-housing-estates-process/list-of-estates-taken-in-charge.html</x:v>
      </x:c>
      <x:c r="S15" s="27" t="str">
        <x:v>Excellent TIC structure for ≥10-unit filtering.</x:v>
      </x:c>
    </x:row>
    <x:row r="16" ht="70" customHeight="1">
      <x:c r="A16" s="27" t="str">
        <x:v>Laois</x:v>
      </x:c>
      <x:c r="B16" s="27" t="str">
        <x:v>County</x:v>
      </x:c>
      <x:c r="C16" s="27" t="str">
        <x:v>NPAD gives a national merged planning register from 2012; council archive may go earlier</x:v>
      </x:c>
      <x:c r="D16" s="27" t="str">
        <x:v>Earliest local online document year not verified</x:v>
      </x:c>
      <x:c r="E16" s="27" t="str">
        <x:v>Not located online</x:v>
      </x:c>
      <x:c r="F16" s="27" t="str">
        <x:v>Request historic Building Control register/file access</x:v>
      </x:c>
      <x:c r="G16" s="27" t="str">
        <x:v>National NBCO dataset / public register covers all 31 authorities from 1 Mar 2014</x:v>
      </x:c>
      <x:c r="H16" s="27" t="str">
        <x:v>National current register</x:v>
      </x:c>
      <x:c r="I16" s="27" t="str">
        <x:v>Council explicitly points to public register for CN, 7-day, CCC, DAC and FSC</x:v>
      </x:c>
      <x:c r="J16" s="27" t="str">
        <x:v>Published list</x:v>
      </x:c>
      <x:c r="K16" s="27" t="str">
        <x:v>TIC list page/PDF</x:v>
      </x:c>
      <x:c r="L16" s="27" t="str">
        <x:v>Statutory registers; online dataset not verified</x:v>
      </x:c>
      <x:c r="M16" s="27" t="str">
        <x:v>No dedicated project pipeline located</x:v>
      </x:c>
      <x:c r="N16" s="27" t="str">
        <x:v>Planning search and notices</x:v>
      </x:c>
      <x:c r="O16" s="27" t="str">
        <x:v>Request pre-2014 CN extract and dated TIC master list</x:v>
      </x:c>
      <x:c r="P16" s="27" t="str">
        <x:v>High</x:v>
      </x:c>
      <x:c r="Q16" s="27" t="str">
        <x:v>High</x:v>
      </x:c>
      <x:c r="R16" s="27" t="str">
        <x:v>https://laois.ie/planning-and-building/building-control/building-control-register</x:v>
      </x:c>
      <x:c r="S16" s="27" t="str">
        <x:v>Clear confirmation that fire and access certificates are register categories.</x:v>
      </x:c>
    </x:row>
    <x:row r="17" ht="70" customHeight="1">
      <x:c r="A17" s="27" t="str">
        <x:v>Leitrim</x:v>
      </x:c>
      <x:c r="B17" s="27" t="str">
        <x:v>County</x:v>
      </x:c>
      <x:c r="C17" s="27" t="str">
        <x:v>Online planning documents verified from 2005; older files may be in storage</x:v>
      </x:c>
      <x:c r="D17" s="27" t="str">
        <x:v>2005+ documents online; files older than five years may require retrieval</x:v>
      </x:c>
      <x:c r="E17" s="27" t="str">
        <x:v>Not located online</x:v>
      </x:c>
      <x:c r="F17" s="27" t="str">
        <x:v>Request Building Control register; allow retrieval time for stored files</x:v>
      </x:c>
      <x:c r="G17" s="27" t="str">
        <x:v>National NBCO dataset / public register covers all 31 authorities from 1 Mar 2014</x:v>
      </x:c>
      <x:c r="H17" s="27" t="str">
        <x:v>National only located</x:v>
      </x:c>
      <x:c r="I17" s="27" t="str">
        <x:v>Current register via NBCO</x:v>
      </x:c>
      <x:c r="J17" s="27" t="str">
        <x:v>Indicative published list</x:v>
      </x:c>
      <x:c r="K17" s="27" t="str">
        <x:v>Unfinished estates/TIC page includes indicative list</x:v>
      </x:c>
      <x:c r="L17" s="27" t="str">
        <x:v>Statutory registers; online dataset not verified</x:v>
      </x:c>
      <x:c r="M17" s="27" t="str">
        <x:v>Unfinished-estates material provides partial status</x:v>
      </x:c>
      <x:c r="N17" s="27" t="str">
        <x:v>Planning search and council records</x:v>
      </x:c>
      <x:c r="O17" s="27" t="str">
        <x:v>Request a register extract first to avoid unnecessary archive retrieval</x:v>
      </x:c>
      <x:c r="P17" s="27" t="str">
        <x:v>High</x:v>
      </x:c>
      <x:c r="Q17" s="27" t="str">
        <x:v>High</x:v>
      </x:c>
      <x:c r="R17" s="27" t="str">
        <x:v>https://www.leitrim.ie/council/services/planning-building/unfinished-estates-taking-in-charge/</x:v>
      </x:c>
      <x:c r="S17" s="27" t="str">
        <x:v>Council warns its TIC list may omit historically maintained/owned estates.</x:v>
      </x:c>
    </x:row>
    <x:row r="18" ht="70" customHeight="1">
      <x:c r="A18" s="27" t="str">
        <x:v>Limerick City &amp; County</x:v>
      </x:c>
      <x:c r="B18" s="27" t="str">
        <x:v>City &amp; County</x:v>
      </x:c>
      <x:c r="C18" s="27" t="str">
        <x:v>NPAD gives a national merged planning register from 2012; council archive may go earlier</x:v>
      </x:c>
      <x:c r="D18" s="27" t="str">
        <x:v>Merged authority; legacy city/county references require normalization</x:v>
      </x:c>
      <x:c r="E18" s="27" t="str">
        <x:v>Not located online</x:v>
      </x:c>
      <x:c r="F18" s="27" t="str">
        <x:v>Request historic registers for both legacy authorities and map old references</x:v>
      </x:c>
      <x:c r="G18" s="27" t="str">
        <x:v>National NBCO dataset / public register covers all 31 authorities from 1 Mar 2014</x:v>
      </x:c>
      <x:c r="H18" s="27" t="str">
        <x:v>National only located</x:v>
      </x:c>
      <x:c r="I18" s="27" t="str">
        <x:v>Current CN page/register route</x:v>
      </x:c>
      <x:c r="J18" s="27" t="str">
        <x:v>Published list / protocol</x:v>
      </x:c>
      <x:c r="K18" s="27" t="str">
        <x:v>TIC protocol plus list updated Apr 2025</x:v>
      </x:c>
      <x:c r="L18" s="27" t="str">
        <x:v>Statutory registers; online dataset not verified</x:v>
      </x:c>
      <x:c r="M18" s="27" t="str">
        <x:v>No complete private-development pipeline located</x:v>
      </x:c>
      <x:c r="N18" s="27" t="str">
        <x:v>Planning search, reports and notices</x:v>
      </x:c>
      <x:c r="O18" s="27" t="str">
        <x:v>Request legacy-city and legacy-county CN extracts separately if needed</x:v>
      </x:c>
      <x:c r="P18" s="27" t="str">
        <x:v>High</x:v>
      </x:c>
      <x:c r="Q18" s="27" t="str">
        <x:v>High</x:v>
      </x:c>
      <x:c r="R18" s="27" t="str">
        <x:v>https://www.limerick.ie/council/services/planning-and-placemaking/taking-in-charge-of-housing-estates/taking-in-charge</x:v>
      </x:c>
      <x:c r="S18" s="27" t="str">
        <x:v>2014 merger creates a key entity-resolution issue.</x:v>
      </x:c>
    </x:row>
    <x:row r="19" ht="70" customHeight="1">
      <x:c r="A19" s="27" t="str">
        <x:v>Longford</x:v>
      </x:c>
      <x:c r="B19" s="27" t="str">
        <x:v>County</x:v>
      </x:c>
      <x:c r="C19" s="27" t="str">
        <x:v>NPAD gives a national merged planning register from 2012; council archive may go earlier</x:v>
      </x:c>
      <x:c r="D19" s="27" t="str">
        <x:v>Earliest local online document year not verified</x:v>
      </x:c>
      <x:c r="E19" s="27" t="str">
        <x:v>Not located online</x:v>
      </x:c>
      <x:c r="F19" s="27" t="str">
        <x:v>Request historic register/file access</x:v>
      </x:c>
      <x:c r="G19" s="27" t="str">
        <x:v>National NBCO dataset / public register covers all 31 authorities from 1 Mar 2014</x:v>
      </x:c>
      <x:c r="H19" s="27" t="str">
        <x:v>National only located</x:v>
      </x:c>
      <x:c r="I19" s="27" t="str">
        <x:v>Current CN service page</x:v>
      </x:c>
      <x:c r="J19" s="27" t="str">
        <x:v>Policy / partial reporting</x:v>
      </x:c>
      <x:c r="K19" s="27" t="str">
        <x:v>TIC policy and council reports; consolidated dated list not located</x:v>
      </x:c>
      <x:c r="L19" s="27" t="str">
        <x:v>Statutory registers; online dataset not verified</x:v>
      </x:c>
      <x:c r="M19" s="27" t="str">
        <x:v>No dedicated project pipeline located</x:v>
      </x:c>
      <x:c r="N19" s="27" t="str">
        <x:v>Planning search and reports</x:v>
      </x:c>
      <x:c r="O19" s="27" t="str">
        <x:v>Request pre-2014 CN and a dated TIC schedule</x:v>
      </x:c>
      <x:c r="P19" s="27" t="str">
        <x:v>Medium</x:v>
      </x:c>
      <x:c r="Q19" s="27" t="str">
        <x:v>High</x:v>
      </x:c>
      <x:c r="R19" s="27" t="str">
        <x:v>https://www.longfordcoco.ie/services/planning/taking-in-charge/</x:v>
      </x:c>
      <x:c r="S19" s="27" t="str">
        <x:v>Annual/chief-executive reports may fill event dates.</x:v>
      </x:c>
    </x:row>
    <x:row r="20" ht="70" customHeight="1">
      <x:c r="A20" s="27" t="str">
        <x:v>Louth</x:v>
      </x:c>
      <x:c r="B20" s="27" t="str">
        <x:v>County</x:v>
      </x:c>
      <x:c r="C20" s="27" t="str">
        <x:v>Online planning/maps including enforcement notices</x:v>
      </x:c>
      <x:c r="D20" s="27" t="str">
        <x:v>Earliest online document year not verified</x:v>
      </x:c>
      <x:c r="E20" s="27" t="str">
        <x:v>Not located online</x:v>
      </x:c>
      <x:c r="F20" s="27" t="str">
        <x:v>Request historic Building Control register/file access</x:v>
      </x:c>
      <x:c r="G20" s="27" t="str">
        <x:v>National NBCO dataset / public register covers all 31 authorities from 1 Mar 2014</x:v>
      </x:c>
      <x:c r="H20" s="27" t="str">
        <x:v>National only located</x:v>
      </x:c>
      <x:c r="I20" s="27" t="str">
        <x:v>Current CN page/register route</x:v>
      </x:c>
      <x:c r="J20" s="27" t="str">
        <x:v>Published lists</x:v>
      </x:c>
      <x:c r="K20" s="27" t="str">
        <x:v>Taken-in-charge estates and live TIC applications both published</x:v>
      </x:c>
      <x:c r="L20" s="27" t="str">
        <x:v>Statutory registers; online dataset not verified</x:v>
      </x:c>
      <x:c r="M20" s="27" t="str">
        <x:v>No dedicated project pipeline located</x:v>
      </x:c>
      <x:c r="N20" s="27" t="str">
        <x:v>Online planning maps and enforcement notices</x:v>
      </x:c>
      <x:c r="O20" s="27" t="str">
        <x:v>Join taken/live TIC lists to planning and NBCO; request historic CN</x:v>
      </x:c>
      <x:c r="P20" s="27" t="str">
        <x:v>High</x:v>
      </x:c>
      <x:c r="Q20" s="27" t="str">
        <x:v>High</x:v>
      </x:c>
      <x:c r="R20" s="27" t="str">
        <x:v>https://www.louthcoco.ie/services/planning/taking-in-charge/</x:v>
      </x:c>
      <x:c r="S20" s="27" t="str">
        <x:v>Live TIC list is valuable for near-completion status.</x:v>
      </x:c>
    </x:row>
    <x:row r="21" ht="70" customHeight="1">
      <x:c r="A21" s="27" t="str">
        <x:v>Mayo</x:v>
      </x:c>
      <x:c r="B21" s="27" t="str">
        <x:v>County</x:v>
      </x:c>
      <x:c r="C21" s="27" t="str">
        <x:v>NPAD gives a national merged planning register from 2012; council archive may go earlier</x:v>
      </x:c>
      <x:c r="D21" s="27" t="str">
        <x:v>Earliest local online document year not verified</x:v>
      </x:c>
      <x:c r="E21" s="27" t="str">
        <x:v>Not located online</x:v>
      </x:c>
      <x:c r="F21" s="27" t="str">
        <x:v>Request historic register/file access</x:v>
      </x:c>
      <x:c r="G21" s="27" t="str">
        <x:v>National NBCO dataset / public register covers all 31 authorities from 1 Mar 2014</x:v>
      </x:c>
      <x:c r="H21" s="27" t="str">
        <x:v>National only located</x:v>
      </x:c>
      <x:c r="I21" s="27" t="str">
        <x:v>Current CN notices/services</x:v>
      </x:c>
      <x:c r="J21" s="27" t="str">
        <x:v>Notices / PDF list</x:v>
      </x:c>
      <x:c r="K21" s="27" t="str">
        <x:v>TIC notices and council PDF material located; master-list currency needs checking</x:v>
      </x:c>
      <x:c r="L21" s="27" t="str">
        <x:v>Statutory registers; online dataset not verified</x:v>
      </x:c>
      <x:c r="M21" s="27" t="str">
        <x:v>No dedicated project pipeline located</x:v>
      </x:c>
      <x:c r="N21" s="27" t="str">
        <x:v>Planning search and notices</x:v>
      </x:c>
      <x:c r="O21" s="27" t="str">
        <x:v>Request master TIC schedule with decision dates plus historic CN</x:v>
      </x:c>
      <x:c r="P21" s="27" t="str">
        <x:v>Medium</x:v>
      </x:c>
      <x:c r="Q21" s="27" t="str">
        <x:v>High</x:v>
      </x:c>
      <x:c r="R21" s="27" t="str">
        <x:v>https://www.mayo.ie/planning/taking-in-charge</x:v>
      </x:c>
      <x:c r="S21" s="27" t="str">
        <x:v>Verify current URL/list version before automated harvesting.</x:v>
      </x:c>
    </x:row>
    <x:row r="22" ht="70" customHeight="1">
      <x:c r="A22" s="27" t="str">
        <x:v>Meath</x:v>
      </x:c>
      <x:c r="B22" s="27" t="str">
        <x:v>County</x:v>
      </x:c>
      <x:c r="C22" s="27" t="str">
        <x:v>Council planning search</x:v>
      </x:c>
      <x:c r="D22" s="27" t="str">
        <x:v>Earliest local online document year not verified</x:v>
      </x:c>
      <x:c r="E22" s="27" t="str">
        <x:v>Not located online</x:v>
      </x:c>
      <x:c r="F22" s="27" t="str">
        <x:v>Council privacy schedule confirms a Commencement Notice process; request register/file access</x:v>
      </x:c>
      <x:c r="G22" s="27" t="str">
        <x:v>National NBCO dataset / public register covers all 31 authorities from 1 Mar 2014</x:v>
      </x:c>
      <x:c r="H22" s="27" t="str">
        <x:v>National only located</x:v>
      </x:c>
      <x:c r="I22" s="27" t="str">
        <x:v>Current public-register route not specifically documented in source reviewed</x:v>
      </x:c>
      <x:c r="J22" s="27" t="str">
        <x:v>Annual notices</x:v>
      </x:c>
      <x:c r="K22" s="27" t="str">
        <x:v>TIC service page with declaration-of-public-roads notices by year</x:v>
      </x:c>
      <x:c r="L22" s="27" t="str">
        <x:v>Statutory registers; online dataset not verified</x:v>
      </x:c>
      <x:c r="M22" s="27" t="str">
        <x:v>No dedicated project pipeline located</x:v>
      </x:c>
      <x:c r="N22" s="27" t="str">
        <x:v>Planning search and statutory notices</x:v>
      </x:c>
      <x:c r="O22" s="27" t="str">
        <x:v>Harvest annual TIC notices, then request consolidated schedule and historic CN</x:v>
      </x:c>
      <x:c r="P22" s="27" t="str">
        <x:v>High</x:v>
      </x:c>
      <x:c r="Q22" s="27" t="str">
        <x:v>High</x:v>
      </x:c>
      <x:c r="R22" s="27" t="str">
        <x:v>https://www.meath.ie/council/council-services/planning-and-building/taking-charge-of-roads-estates-0</x:v>
      </x:c>
      <x:c r="S22" s="27" t="str">
        <x:v>Annual notice pages verified for 2019-2022 and current notices.</x:v>
      </x:c>
    </x:row>
    <x:row r="23" ht="70" customHeight="1">
      <x:c r="A23" s="27" t="str">
        <x:v>Monaghan</x:v>
      </x:c>
      <x:c r="B23" s="27" t="str">
        <x:v>County</x:v>
      </x:c>
      <x:c r="C23" s="27" t="str">
        <x:v>Planning search plus paid/requested planning search</x:v>
      </x:c>
      <x:c r="D23" s="27" t="str">
        <x:v>Planning search can return history and taken-in-charge status</x:v>
      </x:c>
      <x:c r="E23" s="27" t="str">
        <x:v>Not located online</x:v>
      </x:c>
      <x:c r="F23" s="27" t="str">
        <x:v>Request historic Building Control register/file access</x:v>
      </x:c>
      <x:c r="G23" s="27" t="str">
        <x:v>National NBCO dataset / public register covers all 31 authorities from 1 Mar 2014</x:v>
      </x:c>
      <x:c r="H23" s="27" t="str">
        <x:v>National only located</x:v>
      </x:c>
      <x:c r="I23" s="27" t="str">
        <x:v>Current CN forms and register route</x:v>
      </x:c>
      <x:c r="J23" s="27" t="str">
        <x:v>Notices / process</x:v>
      </x:c>
      <x:c r="K23" s="27" t="str">
        <x:v>TIC page and recurring declaration notices</x:v>
      </x:c>
      <x:c r="L23" s="27" t="str">
        <x:v>Derelict register referenced; online dataset not verified</x:v>
      </x:c>
      <x:c r="M23" s="27" t="str">
        <x:v>No dedicated project pipeline located</x:v>
      </x:c>
      <x:c r="N23" s="27" t="str">
        <x:v>Planning search and council notices</x:v>
      </x:c>
      <x:c r="O23" s="27" t="str">
        <x:v>Use planning-search output to enrich TIC status; request CN master extract</x:v>
      </x:c>
      <x:c r="P23" s="27" t="str">
        <x:v>High</x:v>
      </x:c>
      <x:c r="Q23" s="27" t="str">
        <x:v>High</x:v>
      </x:c>
      <x:c r="R23" s="27" t="str">
        <x:v>https://monaghan.ie/planning/taking-in-charge/</x:v>
      </x:c>
      <x:c r="S23" s="27" t="str">
        <x:v>Planning search explicitly includes planning history and taken-in-charge status.</x:v>
      </x:c>
    </x:row>
    <x:row r="24" ht="70" customHeight="1">
      <x:c r="A24" s="27" t="str">
        <x:v>Offaly</x:v>
      </x:c>
      <x:c r="B24" s="27" t="str">
        <x:v>County</x:v>
      </x:c>
      <x:c r="C24" s="27" t="str">
        <x:v>NPAD gives a national merged planning register from 2012; council archive may go earlier</x:v>
      </x:c>
      <x:c r="D24" s="27" t="str">
        <x:v>Earliest local online document year not verified</x:v>
      </x:c>
      <x:c r="E24" s="27" t="str">
        <x:v>Not located online</x:v>
      </x:c>
      <x:c r="F24" s="27" t="str">
        <x:v>Request historic register/file access</x:v>
      </x:c>
      <x:c r="G24" s="27" t="str">
        <x:v>National NBCO dataset / public register covers all 31 authorities from 1 Mar 2014</x:v>
      </x:c>
      <x:c r="H24" s="27" t="str">
        <x:v>National only located</x:v>
      </x:c>
      <x:c r="I24" s="27" t="str">
        <x:v>Fire-service files accessible by prior appointment and supervised inspection</x:v>
      </x:c>
      <x:c r="J24" s="27" t="str">
        <x:v>Not located as master list</x:v>
      </x:c>
      <x:c r="K24" s="27" t="str">
        <x:v>TIC activity appears in corporate reports; consolidated register not located</x:v>
      </x:c>
      <x:c r="L24" s="27" t="str">
        <x:v>Statutory registers; online dataset not verified</x:v>
      </x:c>
      <x:c r="M24" s="27" t="str">
        <x:v>No dedicated project pipeline located</x:v>
      </x:c>
      <x:c r="N24" s="27" t="str">
        <x:v>Planning search and corporate reports</x:v>
      </x:c>
      <x:c r="O24" s="27" t="str">
        <x:v>Book file inspection; request historic CN/TIC schedule before selecting files</x:v>
      </x:c>
      <x:c r="P24" s="27" t="str">
        <x:v>Medium</x:v>
      </x:c>
      <x:c r="Q24" s="27" t="str">
        <x:v>High</x:v>
      </x:c>
      <x:c r="R24" s="27" t="str">
        <x:v>https://www.offaly.ie/housing-and-building-standards/</x:v>
      </x:c>
      <x:c r="S24" s="27" t="str">
        <x:v>Useful evidence that public access may be appointment-based rather than downloadable.</x:v>
      </x:c>
    </x:row>
    <x:row r="25" ht="70" customHeight="1">
      <x:c r="A25" s="27" t="str">
        <x:v>Roscommon</x:v>
      </x:c>
      <x:c r="B25" s="27" t="str">
        <x:v>County</x:v>
      </x:c>
      <x:c r="C25" s="27" t="str">
        <x:v>NPAD gives a national merged planning register from 2012; council archive may go earlier</x:v>
      </x:c>
      <x:c r="D25" s="27" t="str">
        <x:v>Earliest local online document year not verified</x:v>
      </x:c>
      <x:c r="E25" s="27" t="str">
        <x:v>Not located online</x:v>
      </x:c>
      <x:c r="F25" s="27" t="str">
        <x:v>Request historic register/file access</x:v>
      </x:c>
      <x:c r="G25" s="27" t="str">
        <x:v>National NBCO dataset / public register covers all 31 authorities from 1 Mar 2014</x:v>
      </x:c>
      <x:c r="H25" s="27" t="str">
        <x:v>National only located</x:v>
      </x:c>
      <x:c r="I25" s="27" t="str">
        <x:v>Current register route not verified locally</x:v>
      </x:c>
      <x:c r="J25" s="27" t="str">
        <x:v>Meeting-by-meeting decisions</x:v>
      </x:c>
      <x:c r="K25" s="27" t="str">
        <x:v>Guide plus municipal agendas/minutes record individual estates; master list not located</x:v>
      </x:c>
      <x:c r="L25" s="27" t="str">
        <x:v>Statutory registers; online dataset not verified</x:v>
      </x:c>
      <x:c r="M25" s="27" t="str">
        <x:v>Council reports mention schedule of estates</x:v>
      </x:c>
      <x:c r="N25" s="27" t="str">
        <x:v>Planning search, agendas and minutes</x:v>
      </x:c>
      <x:c r="O25" s="27" t="str">
        <x:v>Extract TIC decisions from meetings; request the internal schedule and historic CN</x:v>
      </x:c>
      <x:c r="P25" s="27" t="str">
        <x:v>Medium</x:v>
      </x:c>
      <x:c r="Q25" s="27" t="str">
        <x:v>High</x:v>
      </x:c>
      <x:c r="R25" s="27" t="str">
        <x:v>https://www.roscommoncoco.ie/en/services/planning/search-planning-applications/planning-leaflets/15-a-guide-to-taking-in-charge-of-completed-residential-developments.pdf</x:v>
      </x:c>
      <x:c r="S25" s="27" t="str">
        <x:v>Meeting system is a usable event source but requires aggregation.</x:v>
      </x:c>
    </x:row>
    <x:row r="26" ht="70" customHeight="1">
      <x:c r="A26" s="27" t="str">
        <x:v>Sligo</x:v>
      </x:c>
      <x:c r="B26" s="27" t="str">
        <x:v>County</x:v>
      </x:c>
      <x:c r="C26" s="27" t="str">
        <x:v>Planning application/file search</x:v>
      </x:c>
      <x:c r="D26" s="27" t="str">
        <x:v>Historic council minutes online at least to 2008</x:v>
      </x:c>
      <x:c r="E26" s="27" t="str">
        <x:v>Not located online</x:v>
      </x:c>
      <x:c r="F26" s="27" t="str">
        <x:v>Request historic Building Control register/file access</x:v>
      </x:c>
      <x:c r="G26" s="27" t="str">
        <x:v>National NBCO dataset / public register covers all 31 authorities from 1 Mar 2014</x:v>
      </x:c>
      <x:c r="H26" s="27" t="str">
        <x:v>National only located</x:v>
      </x:c>
      <x:c r="I26" s="27" t="str">
        <x:v>Current CN/7-day service listed</x:v>
      </x:c>
      <x:c r="J26" s="27" t="str">
        <x:v>Published list</x:v>
      </x:c>
      <x:c r="K26" s="27" t="str">
        <x:v>Estates taken in charge page plus historic council decisions</x:v>
      </x:c>
      <x:c r="L26" s="27" t="str">
        <x:v>Statutory registers; online dataset not verified</x:v>
      </x:c>
      <x:c r="M26" s="27" t="str">
        <x:v>No dedicated project pipeline located</x:v>
      </x:c>
      <x:c r="N26" s="27" t="str">
        <x:v>Planning files, public notices and minutes</x:v>
      </x:c>
      <x:c r="O26" s="27" t="str">
        <x:v>Join published TIC list with minutes for decision dates; request historic CN</x:v>
      </x:c>
      <x:c r="P26" s="27" t="str">
        <x:v>High</x:v>
      </x:c>
      <x:c r="Q26" s="27" t="str">
        <x:v>High</x:v>
      </x:c>
      <x:c r="R26" s="27" t="str">
        <x:v>https://www.sligococo.ie/Services/RoadsandParking/Roads/EstatesTakeninCharge/</x:v>
      </x:c>
      <x:c r="S26" s="27" t="str">
        <x:v>Council cautions that TIC does not prove every planning/financial condition for each unit.</x:v>
      </x:c>
    </x:row>
    <x:row r="27" ht="70" customHeight="1">
      <x:c r="A27" s="27" t="str">
        <x:v>South Dublin</x:v>
      </x:c>
      <x:c r="B27" s="27" t="str">
        <x:v>County</x:v>
      </x:c>
      <x:c r="C27" s="27" t="str">
        <x:v>Council planning search and LRD material</x:v>
      </x:c>
      <x:c r="D27" s="27" t="str">
        <x:v>Earliest online document year not verified</x:v>
      </x:c>
      <x:c r="E27" s="27" t="str">
        <x:v>Not located online</x:v>
      </x:c>
      <x:c r="F27" s="27" t="str">
        <x:v>OPR review says complete CN record back to 2014; request pre-2014 register</x:v>
      </x:c>
      <x:c r="G27" s="27" t="str">
        <x:v>National NBCO dataset / public register covers all 31 authorities from 1 Mar 2014</x:v>
      </x:c>
      <x:c r="H27" s="27" t="str">
        <x:v>Council GIS/internal tracking noted</x:v>
      </x:c>
      <x:c r="I27" s="27" t="str">
        <x:v>Current notices and certificate routes published</x:v>
      </x:c>
      <x:c r="J27" s="27" t="str">
        <x:v>Policy / internal GIS</x:v>
      </x:c>
      <x:c r="K27" s="27" t="str">
        <x:v>TIC process and standards; GIS database described in OPR review</x:v>
      </x:c>
      <x:c r="L27" s="27" t="str">
        <x:v>Statutory registers; online dataset not verified</x:v>
      </x:c>
      <x:c r="M27" s="27" t="str">
        <x:v>4Dublin Development Pipeline for 10+ units</x:v>
      </x:c>
      <x:c r="N27" s="27" t="str">
        <x:v>Planning, bonds and enforcement services</x:v>
      </x:c>
      <x:c r="O27" s="27" t="str">
        <x:v>Use 4Dublin spine; request GIS/TIC export and pre-2014 CN</x:v>
      </x:c>
      <x:c r="P27" s="27" t="str">
        <x:v>High</x:v>
      </x:c>
      <x:c r="Q27" s="27" t="str">
        <x:v>High</x:v>
      </x:c>
      <x:c r="R27" s="27" t="str">
        <x:v>https://sdcc.ie/en/services/planning-building-control/bonds-taking-in-charge/</x:v>
      </x:c>
      <x:c r="S27" s="27" t="str">
        <x:v>OPR review indicates internal datasets worth requesting even when not openly downloadable.</x:v>
      </x:c>
    </x:row>
    <x:row r="28" ht="70" customHeight="1">
      <x:c r="A28" s="27" t="str">
        <x:v>Tipperary</x:v>
      </x:c>
      <x:c r="B28" s="27" t="str">
        <x:v>County</x:v>
      </x:c>
      <x:c r="C28" s="27" t="str">
        <x:v>ePlan / record-based enquiry</x:v>
      </x:c>
      <x:c r="D28" s="27" t="str">
        <x:v>Merged authority; normalize legacy North/South Tipperary references</x:v>
      </x:c>
      <x:c r="E28" s="27" t="str">
        <x:v>Not located online</x:v>
      </x:c>
      <x:c r="F28" s="27" t="str">
        <x:v>Request historic registers for both legacy authorities</x:v>
      </x:c>
      <x:c r="G28" s="27" t="str">
        <x:v>National NBCO dataset / public register covers all 31 authorities from 1 Mar 2014</x:v>
      </x:c>
      <x:c r="H28" s="27" t="str">
        <x:v>National current register</x:v>
      </x:c>
      <x:c r="I28" s="27" t="str">
        <x:v>Council states public register includes CN, 7-day, CCC, DAC and FSC</x:v>
      </x:c>
      <x:c r="J28" s="27" t="str">
        <x:v>Request route / notices</x:v>
      </x:c>
      <x:c r="K28" s="27" t="str">
        <x:v>TIC request/certificate pages and recurring proposed-TIC notices</x:v>
      </x:c>
      <x:c r="L28" s="27" t="str">
        <x:v>Statutory registers; online dataset not verified</x:v>
      </x:c>
      <x:c r="M28" s="27" t="str">
        <x:v>No dedicated project pipeline located</x:v>
      </x:c>
      <x:c r="N28" s="27" t="str">
        <x:v>ePlan and public notices</x:v>
      </x:c>
      <x:c r="O28" s="27" t="str">
        <x:v>Request legacy registers separately; harvest TIC notices</x:v>
      </x:c>
      <x:c r="P28" s="27" t="str">
        <x:v>High</x:v>
      </x:c>
      <x:c r="Q28" s="27" t="str">
        <x:v>High</x:v>
      </x:c>
      <x:c r="R28" s="27" t="str">
        <x:v>https://www.tipperarycoco.ie/planning-and-building/supporting-services</x:v>
      </x:c>
      <x:c r="S28" s="27" t="str">
        <x:v>2014 merger is a material identifier issue.</x:v>
      </x:c>
    </x:row>
    <x:row r="29" ht="70" customHeight="1">
      <x:c r="A29" s="27" t="str">
        <x:v>Waterford City &amp; County</x:v>
      </x:c>
      <x:c r="B29" s="27" t="str">
        <x:v>City &amp; County</x:v>
      </x:c>
      <x:c r="C29" s="27" t="str">
        <x:v>Planning enquiries map/text search</x:v>
      </x:c>
      <x:c r="D29" s="27" t="str">
        <x:v>Merged authority; normalize legacy city/county references</x:v>
      </x:c>
      <x:c r="E29" s="27" t="str">
        <x:v>Not located online</x:v>
      </x:c>
      <x:c r="F29" s="27" t="str">
        <x:v>Request historic registers for both legacy authorities</x:v>
      </x:c>
      <x:c r="G29" s="27" t="str">
        <x:v>National NBCO dataset / public register covers all 31 authorities from 1 Mar 2014</x:v>
      </x:c>
      <x:c r="H29" s="27" t="str">
        <x:v>National only located</x:v>
      </x:c>
      <x:c r="I29" s="27" t="str">
        <x:v>Current register route not verified locally</x:v>
      </x:c>
      <x:c r="J29" s="27" t="str">
        <x:v>Process / notices</x:v>
      </x:c>
      <x:c r="K29" s="27" t="str">
        <x:v>TIC service plus district meeting documents and individual notices</x:v>
      </x:c>
      <x:c r="L29" s="27" t="str">
        <x:v>Statutory registers; online dataset not verified</x:v>
      </x:c>
      <x:c r="M29" s="27" t="str">
        <x:v>No dedicated project pipeline located</x:v>
      </x:c>
      <x:c r="N29" s="27" t="str">
        <x:v>Planning forms, notices and meeting documents</x:v>
      </x:c>
      <x:c r="O29" s="27" t="str">
        <x:v>Aggregate TIC notices/meeting reports; request legacy CN schedules</x:v>
      </x:c>
      <x:c r="P29" s="27" t="str">
        <x:v>High</x:v>
      </x:c>
      <x:c r="Q29" s="27" t="str">
        <x:v>High</x:v>
      </x:c>
      <x:c r="R29" s="27" t="str">
        <x:v>https://waterfordcouncil.ie/services/planning/estate-management/taking-in-charge/</x:v>
      </x:c>
      <x:c r="S29" s="27" t="str">
        <x:v>2014 merger requires alias and reference crosswalks.</x:v>
      </x:c>
    </x:row>
    <x:row r="30" ht="70" customHeight="1">
      <x:c r="A30" s="27" t="str">
        <x:v>Westmeath</x:v>
      </x:c>
      <x:c r="B30" s="27" t="str">
        <x:v>County</x:v>
      </x:c>
      <x:c r="C30" s="27" t="str">
        <x:v>Council planning search</x:v>
      </x:c>
      <x:c r="D30" s="27" t="str">
        <x:v>Earliest local online document year not verified</x:v>
      </x:c>
      <x:c r="E30" s="27" t="str">
        <x:v>Not located online</x:v>
      </x:c>
      <x:c r="F30" s="27" t="str">
        <x:v>Historic page confirms paper-era CN process; request register/file access</x:v>
      </x:c>
      <x:c r="G30" s="27" t="str">
        <x:v>National NBCO dataset / public register covers all 31 authorities from 1 Mar 2014</x:v>
      </x:c>
      <x:c r="H30" s="27" t="str">
        <x:v>National only located</x:v>
      </x:c>
      <x:c r="I30" s="27" t="str">
        <x:v>Current register route not verified locally</x:v>
      </x:c>
      <x:c r="J30" s="27" t="str">
        <x:v>Notices / process</x:v>
      </x:c>
      <x:c r="K30" s="27" t="str">
        <x:v>TIC service, consultation notices and meeting decisions</x:v>
      </x:c>
      <x:c r="L30" s="27" t="str">
        <x:v>Statutory registers; online dataset not verified</x:v>
      </x:c>
      <x:c r="M30" s="27" t="str">
        <x:v>No dedicated project pipeline located</x:v>
      </x:c>
      <x:c r="N30" s="27" t="str">
        <x:v>Planning items on display and minutes</x:v>
      </x:c>
      <x:c r="O30" s="27" t="str">
        <x:v>Harvest consultation/minute events; request master TIC and pre-2014 CN</x:v>
      </x:c>
      <x:c r="P30" s="27" t="str">
        <x:v>Medium</x:v>
      </x:c>
      <x:c r="Q30" s="27" t="str">
        <x:v>High</x:v>
      </x:c>
      <x:c r="R30" s="27" t="str">
        <x:v>https://www.westmeathcoco.ie/en/ourservices/planning/takingincharge/</x:v>
      </x:c>
      <x:c r="S30" s="27" t="str">
        <x:v>Older council page can help identify legacy forms and contacts.</x:v>
      </x:c>
    </x:row>
    <x:row r="31" ht="70" customHeight="1">
      <x:c r="A31" s="27" t="str">
        <x:v>Wexford</x:v>
      </x:c>
      <x:c r="B31" s="27" t="str">
        <x:v>County</x:v>
      </x:c>
      <x:c r="C31" s="27" t="str">
        <x:v>Council planning search</x:v>
      </x:c>
      <x:c r="D31" s="27" t="str">
        <x:v>Earliest local online document year not verified</x:v>
      </x:c>
      <x:c r="E31" s="27" t="str">
        <x:v>Not located online</x:v>
      </x:c>
      <x:c r="F31" s="27" t="str">
        <x:v>Request historic register/file access</x:v>
      </x:c>
      <x:c r="G31" s="27" t="str">
        <x:v>National NBCO dataset / public register covers all 31 authorities from 1 Mar 2014</x:v>
      </x:c>
      <x:c r="H31" s="27" t="str">
        <x:v>National only located</x:v>
      </x:c>
      <x:c r="I31" s="27" t="str">
        <x:v>Current building-control route</x:v>
      </x:c>
      <x:c r="J31" s="27" t="str">
        <x:v>Published list</x:v>
      </x:c>
      <x:c r="K31" s="27" t="str">
        <x:v>Dedicated list of taken-in-charge estates</x:v>
      </x:c>
      <x:c r="L31" s="27" t="str">
        <x:v>Statutory registers; online dataset not verified</x:v>
      </x:c>
      <x:c r="M31" s="27" t="str">
        <x:v>No dedicated project pipeline located</x:v>
      </x:c>
      <x:c r="N31" s="27" t="str">
        <x:v>Planning search and notices</x:v>
      </x:c>
      <x:c r="O31" s="27" t="str">
        <x:v>Use TIC list as completion signal; request decision dates and historic CN</x:v>
      </x:c>
      <x:c r="P31" s="27" t="str">
        <x:v>High</x:v>
      </x:c>
      <x:c r="Q31" s="27" t="str">
        <x:v>High</x:v>
      </x:c>
      <x:c r="R31" s="27" t="str">
        <x:v>https://www.wexfordcoco.ie/planning/building-control/taking-in-charge/list-of-taken-in-charge-estates</x:v>
      </x:c>
      <x:c r="S31" s="27" t="str">
        <x:v>Verify whether the downloadable list includes dates/units before ingestion.</x:v>
      </x:c>
    </x:row>
    <x:row r="32" ht="70" customHeight="1">
      <x:c r="A32" s="27" t="str">
        <x:v>Wicklow</x:v>
      </x:c>
      <x:c r="B32" s="27" t="str">
        <x:v>County</x:v>
      </x:c>
      <x:c r="C32" s="27" t="str">
        <x:v>Council planning search and LRD pages</x:v>
      </x:c>
      <x:c r="D32" s="27" t="str">
        <x:v>Earliest local online document year not verified</x:v>
      </x:c>
      <x:c r="E32" s="27" t="str">
        <x:v>Not located online</x:v>
      </x:c>
      <x:c r="F32" s="27" t="str">
        <x:v>Request historic register/file access</x:v>
      </x:c>
      <x:c r="G32" s="27" t="str">
        <x:v>National NBCO dataset / public register covers all 31 authorities from 1 Mar 2014</x:v>
      </x:c>
      <x:c r="H32" s="27" t="str">
        <x:v>National only located</x:v>
      </x:c>
      <x:c r="I32" s="27" t="str">
        <x:v>Planning enforcement unit manages commencement notices</x:v>
      </x:c>
      <x:c r="J32" s="27" t="str">
        <x:v>Notices / policy</x:v>
      </x:c>
      <x:c r="K32" s="27" t="str">
        <x:v>Housing-estate TIC page with intention lists/maps</x:v>
      </x:c>
      <x:c r="L32" s="27" t="str">
        <x:v>Statutory registers; online dataset not verified</x:v>
      </x:c>
      <x:c r="M32" s="27" t="str">
        <x:v>No complete private-development pipeline located</x:v>
      </x:c>
      <x:c r="N32" s="27" t="str">
        <x:v>Planning enforcement, LRD and notices</x:v>
      </x:c>
      <x:c r="O32" s="27" t="str">
        <x:v>Harvest TIC intentions/maps; request final decisions and historic CN</x:v>
      </x:c>
      <x:c r="P32" s="27" t="str">
        <x:v>High</x:v>
      </x:c>
      <x:c r="Q32" s="27" t="str">
        <x:v>High</x:v>
      </x:c>
      <x:c r="R32" s="27" t="str">
        <x:v>https://www.wicklow.ie/Living/Services/Planning/Taking-in-Charge-of-a-Housing-Estate</x:v>
      </x:c>
      <x:c r="S32" s="27" t="str">
        <x:v>Intention notices are intermediate events; distinguish from final TIC resolutions.</x:v>
      </x:c>
    </x:row>
  </x:sheetData>
  <x:conditionalFormatting sqref="Q2:Q32">
    <x:cfRule type="containsText" dxfId="0" priority="1" operator="containsText" text="High"/>
    <x:cfRule type="containsText" dxfId="1" priority="2" operator="containsText" text="Low"/>
  </x:conditionalFormatting>
  <x:conditionalFormatting sqref="E2:E32">
    <x:cfRule type="containsText" dxfId="2" priority="3" operator="containsText" text="online"/>
    <x:cfRule type="containsText" dxfId="3" priority="4" operator="containsText" text="Not located"/>
  </x:conditionalFormatting>
  <x:conditionalFormatting sqref="P2:P32">
    <x:cfRule type="containsText" dxfId="4" priority="5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bd173013309d44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34" hidden="0" customWidth="1"/>
    <x:col min="5" max="5" width="62" hidden="0" customWidth="1"/>
    <x:col min="6" max="6" width="52" hidden="0" customWidth="1"/>
    <x:col min="7" max="7" width="14" hidden="0" customWidth="1"/>
    <x:col min="8" max="8" width="14" hidden="0" customWidth="1"/>
  </x:cols>
  <x:sheetData>
    <x:row r="1" ht="34" customHeight="1">
      <x:c r="A1" s="29" t="str">
        <x:v>Source ID</x:v>
      </x:c>
      <x:c r="B1" s="29" t="str">
        <x:v>Authority / scope</x:v>
      </x:c>
      <x:c r="C1" s="29" t="str">
        <x:v>Topic</x:v>
      </x:c>
      <x:c r="D1" s="29" t="str">
        <x:v>Source title</x:v>
      </x:c>
      <x:c r="E1" s="29" t="str">
        <x:v>URL</x:v>
      </x:c>
      <x:c r="F1" s="29" t="str">
        <x:v>What it establishes</x:v>
      </x:c>
      <x:c r="G1" s="29" t="str">
        <x:v>Status</x:v>
      </x:c>
      <x:c r="H1" s="29" t="str">
        <x:v>Checked</x:v>
      </x:c>
    </x:row>
    <x:row r="2" ht="46" customHeight="1">
      <x:c r="A2" s="27" t="str">
        <x:v>NAT-01</x:v>
      </x:c>
      <x:c r="B2" s="27" t="str">
        <x:v>National</x:v>
      </x:c>
      <x:c r="C2" s="27" t="str">
        <x:v>Building control</x:v>
      </x:c>
      <x:c r="D2" s="27" t="str">
        <x:v>NBCO Building Control Data Portal</x:v>
      </x:c>
      <x:c r="E2" s="27" t="str">
        <x:v>https://data.nbco.gov.ie/</x:v>
      </x:c>
      <x:c r="F2" s="27" t="str">
        <x:v>Commencement Notices and Certificates of Compliance on Completion for all 31 authorities since 2014.</x:v>
      </x:c>
      <x:c r="G2" s="27" t="str">
        <x:v>Official</x:v>
      </x:c>
      <x:c r="H2" s="27" t="str">
        <x:v>2026-09-28</x:v>
      </x:c>
    </x:row>
    <x:row r="3" ht="46" customHeight="1">
      <x:c r="A3" s="27" t="str">
        <x:v>NAT-02</x:v>
      </x:c>
      <x:c r="B3" s="27" t="str">
        <x:v>National</x:v>
      </x:c>
      <x:c r="C3" s="27" t="str">
        <x:v>Planning</x:v>
      </x:c>
      <x:c r="D3" s="27" t="str">
        <x:v>National Planning Application Database</x:v>
      </x:c>
      <x:c r="E3" s="27" t="str">
        <x:v>https://data.gov.ie/dataset/national-planning-application-database</x:v>
      </x:c>
      <x:c r="F3" s="27" t="str">
        <x:v>National merged planning register; use as a discovery layer and verify against local files.</x:v>
      </x:c>
      <x:c r="G3" s="27" t="str">
        <x:v>Official</x:v>
      </x:c>
      <x:c r="H3" s="27" t="str">
        <x:v>2026-09-28</x:v>
      </x:c>
    </x:row>
    <x:row r="4" ht="46" customHeight="1">
      <x:c r="A4" s="27" t="str">
        <x:v>CAR-01</x:v>
      </x:c>
      <x:c r="B4" s="27" t="str">
        <x:v>Carlow</x:v>
      </x:c>
      <x:c r="C4" s="27" t="str">
        <x:v>Taking in charge</x:v>
      </x:c>
      <x:c r="D4" s="27" t="str">
        <x:v>Taking in Charge of Estates Request</x:v>
      </x:c>
      <x:c r="E4" s="27" t="str">
        <x:v>https://carlow.ie/planning-and-building/development-management/taking-charge-estates-request</x:v>
      </x:c>
      <x:c r="F4" s="27" t="str">
        <x:v>Process and request route; no consolidated historic list located in this sweep.</x:v>
      </x:c>
      <x:c r="G4" s="27" t="str">
        <x:v>Official</x:v>
      </x:c>
      <x:c r="H4" s="27" t="str">
        <x:v>2026-09-28</x:v>
      </x:c>
    </x:row>
    <x:row r="5" ht="46" customHeight="1">
      <x:c r="A5" s="27" t="str">
        <x:v>CAV-01</x:v>
      </x:c>
      <x:c r="B5" s="27" t="str">
        <x:v>Cavan</x:v>
      </x:c>
      <x:c r="C5" s="27" t="str">
        <x:v>Building control</x:v>
      </x:c>
      <x:c r="D5" s="27" t="str">
        <x:v>Commencement Notice &amp; 7 Day Notice</x:v>
      </x:c>
      <x:c r="E5" s="27" t="str">
        <x:v>https://www.cavancoco.ie/services/planning-building/building-control/commencement-notice-7-day-notice/</x:v>
      </x:c>
      <x:c r="F5" s="27" t="str">
        <x:v>Current submission process and BCMS link.</x:v>
      </x:c>
      <x:c r="G5" s="27" t="str">
        <x:v>Official</x:v>
      </x:c>
      <x:c r="H5" s="27" t="str">
        <x:v>2026-09-28</x:v>
      </x:c>
    </x:row>
    <x:row r="6" ht="46" customHeight="1">
      <x:c r="A6" s="27" t="str">
        <x:v>CLA-01</x:v>
      </x:c>
      <x:c r="B6" s="27" t="str">
        <x:v>Clare</x:v>
      </x:c>
      <x:c r="C6" s="27" t="str">
        <x:v>Building control</x:v>
      </x:c>
      <x:c r="D6" s="27" t="str">
        <x:v>Commencement notices</x:v>
      </x:c>
      <x:c r="E6" s="27" t="str">
        <x:v>https://www.clarecoco.ie/planning-and-building/building-control/commencement-notices</x:v>
      </x:c>
      <x:c r="F6" s="27" t="str">
        <x:v>Current commencement process.</x:v>
      </x:c>
      <x:c r="G6" s="27" t="str">
        <x:v>Official</x:v>
      </x:c>
      <x:c r="H6" s="27" t="str">
        <x:v>2026-09-28</x:v>
      </x:c>
    </x:row>
    <x:row r="7" ht="46" customHeight="1">
      <x:c r="A7" s="27" t="str">
        <x:v>CLA-02</x:v>
      </x:c>
      <x:c r="B7" s="27" t="str">
        <x:v>Clare</x:v>
      </x:c>
      <x:c r="C7" s="27" t="str">
        <x:v>Taking in charge</x:v>
      </x:c>
      <x:c r="D7" s="27" t="str">
        <x:v>Taking in charge</x:v>
      </x:c>
      <x:c r="E7" s="27" t="str">
        <x:v>https://www.clarecoco.ie/ga/node/416</x:v>
      </x:c>
      <x:c r="F7" s="27" t="str">
        <x:v>Council process; individual progress also appears in executive reports.</x:v>
      </x:c>
      <x:c r="G7" s="27" t="str">
        <x:v>Official</x:v>
      </x:c>
      <x:c r="H7" s="27" t="str">
        <x:v>2026-09-28</x:v>
      </x:c>
    </x:row>
    <x:row r="8" ht="46" customHeight="1">
      <x:c r="A8" s="27" t="str">
        <x:v>CCY-01</x:v>
      </x:c>
      <x:c r="B8" s="27" t="str">
        <x:v>Cork City</x:v>
      </x:c>
      <x:c r="C8" s="27" t="str">
        <x:v>Derelict sites</x:v>
      </x:c>
      <x:c r="D8" s="27" t="str">
        <x:v>Derelict Sites Register</x:v>
      </x:c>
      <x:c r="E8" s="27" t="str">
        <x:v>https://www.corkcity.ie/en/council-services/services/planning/derelict-vacant-sites-rzlt-and-grants/derelict-sites/</x:v>
      </x:c>
      <x:c r="F8" s="27" t="str">
        <x:v>Register inspection and current-property view.</x:v>
      </x:c>
      <x:c r="G8" s="27" t="str">
        <x:v>Official</x:v>
      </x:c>
      <x:c r="H8" s="27" t="str">
        <x:v>2026-09-28</x:v>
      </x:c>
    </x:row>
    <x:row r="9" ht="46" customHeight="1">
      <x:c r="A9" s="27" t="str">
        <x:v>CCO-01</x:v>
      </x:c>
      <x:c r="B9" s="27" t="str">
        <x:v>Cork County</x:v>
      </x:c>
      <x:c r="C9" s="27" t="str">
        <x:v>Derelict sites</x:v>
      </x:c>
      <x:c r="D9" s="27" t="str">
        <x:v>Derelict Sites Register List</x:v>
      </x:c>
      <x:c r="E9" s="27" t="str">
        <x:v>https://www.corkcoco.ie/en/resident/municipal-districts/derelict-sites-dangerous-structures/derelict-sites-register-list</x:v>
      </x:c>
      <x:c r="F9" s="27" t="str">
        <x:v>Council list; site may block automated access.</x:v>
      </x:c>
      <x:c r="G9" s="27" t="str">
        <x:v>Official</x:v>
      </x:c>
      <x:c r="H9" s="27" t="str">
        <x:v>2026-09-28</x:v>
      </x:c>
    </x:row>
    <x:row r="10" ht="46" customHeight="1">
      <x:c r="A10" s="27" t="str">
        <x:v>DON-01</x:v>
      </x:c>
      <x:c r="B10" s="27" t="str">
        <x:v>Donegal</x:v>
      </x:c>
      <x:c r="C10" s="27" t="str">
        <x:v>Building control</x:v>
      </x:c>
      <x:c r="D10" s="27" t="str">
        <x:v>Building Control</x:v>
      </x:c>
      <x:c r="E10" s="27" t="str">
        <x:v>https://www.donegalcoco.ie/services/planning/building-control</x:v>
      </x:c>
      <x:c r="F10" s="27" t="str">
        <x:v>Links current BCMS and archived commencement register to Feb 2014.</x:v>
      </x:c>
      <x:c r="G10" s="27" t="str">
        <x:v>Official</x:v>
      </x:c>
      <x:c r="H10" s="27" t="str">
        <x:v>2026-09-28</x:v>
      </x:c>
    </x:row>
    <x:row r="11" ht="46" customHeight="1">
      <x:c r="A11" s="27" t="str">
        <x:v>DCC-01</x:v>
      </x:c>
      <x:c r="B11" s="27" t="str">
        <x:v>Dublin City</x:v>
      </x:c>
      <x:c r="C11" s="27" t="str">
        <x:v>Building control</x:v>
      </x:c>
      <x:c r="D11" s="27" t="str">
        <x:v>Commencement Notices</x:v>
      </x:c>
      <x:c r="E11" s="27" t="str">
        <x:v>https://www.dublincity.ie/construction/building-control/commencement-notices</x:v>
      </x:c>
      <x:c r="F11" s="27" t="str">
        <x:v>Current register link; says pre-Mar-2014 notices are available for office inspection.</x:v>
      </x:c>
      <x:c r="G11" s="27" t="str">
        <x:v>Official</x:v>
      </x:c>
      <x:c r="H11" s="27" t="str">
        <x:v>2026-09-28</x:v>
      </x:c>
    </x:row>
    <x:row r="12" ht="46" customHeight="1">
      <x:c r="A12" s="27" t="str">
        <x:v>DCC-02</x:v>
      </x:c>
      <x:c r="B12" s="27" t="str">
        <x:v>Dublin City</x:v>
      </x:c>
      <x:c r="C12" s="27" t="str">
        <x:v>Taking in charge</x:v>
      </x:c>
      <x:c r="D12" s="27" t="str">
        <x:v>Bonds and Taking in Charge</x:v>
      </x:c>
      <x:c r="E12" s="27" t="str">
        <x:v>https://www.dublincity.ie/planning-and-land-use/development-contributions-and-security-bonds/bonds-and-taking-charge</x:v>
      </x:c>
      <x:c r="F12" s="27" t="str">
        <x:v>TIC process and bond context.</x:v>
      </x:c>
      <x:c r="G12" s="27" t="str">
        <x:v>Official</x:v>
      </x:c>
      <x:c r="H12" s="27" t="str">
        <x:v>2026-09-28</x:v>
      </x:c>
    </x:row>
    <x:row r="13" ht="46" customHeight="1">
      <x:c r="A13" s="27" t="str">
        <x:v>DLR-01</x:v>
      </x:c>
      <x:c r="B13" s="27" t="str">
        <x:v>Dún Laoghaire–Rathdown</x:v>
      </x:c>
      <x:c r="C13" s="27" t="str">
        <x:v>Building control</x:v>
      </x:c>
      <x:c r="D13" s="27" t="str">
        <x:v>Commencement Notice</x:v>
      </x:c>
      <x:c r="E13" s="27" t="str">
        <x:v>https://www.dlrcoco.ie/building-control/commencement-notice</x:v>
      </x:c>
      <x:c r="F13" s="27" t="str">
        <x:v>Current service requirements.</x:v>
      </x:c>
      <x:c r="G13" s="27" t="str">
        <x:v>Official</x:v>
      </x:c>
      <x:c r="H13" s="27" t="str">
        <x:v>2026-09-28</x:v>
      </x:c>
    </x:row>
    <x:row r="14" ht="46" customHeight="1">
      <x:c r="A14" s="27" t="str">
        <x:v>FIN-01</x:v>
      </x:c>
      <x:c r="B14" s="27" t="str">
        <x:v>Fingal</x:v>
      </x:c>
      <x:c r="C14" s="27" t="str">
        <x:v>Taking in charge</x:v>
      </x:c>
      <x:c r="D14" s="27" t="str">
        <x:v>Taking in Charge Information</x:v>
      </x:c>
      <x:c r="E14" s="27" t="str">
        <x:v>https://www.fingal.ie/housing-fingal/taking-charge-information</x:v>
      </x:c>
      <x:c r="F14" s="27" t="str">
        <x:v>Policy, checklists and development folder opened from CN for 2+ houses.</x:v>
      </x:c>
      <x:c r="G14" s="27" t="str">
        <x:v>Official</x:v>
      </x:c>
      <x:c r="H14" s="27" t="str">
        <x:v>2026-09-28</x:v>
      </x:c>
    </x:row>
    <x:row r="15" ht="46" customHeight="1">
      <x:c r="A15" s="27" t="str">
        <x:v>GAC-01</x:v>
      </x:c>
      <x:c r="B15" s="27" t="str">
        <x:v>Galway City</x:v>
      </x:c>
      <x:c r="C15" s="27" t="str">
        <x:v>Taking in charge</x:v>
      </x:c>
      <x:c r="D15" s="27" t="str">
        <x:v>Taking in Charge of Estates</x:v>
      </x:c>
      <x:c r="E15" s="27" t="str">
        <x:v>https://www.galwaycity.ie/services/planning-and-building/taking-in-charge-of-estates</x:v>
      </x:c>
      <x:c r="F15" s="27" t="str">
        <x:v>Policy, applications, bond release and May 2024 estate list.</x:v>
      </x:c>
      <x:c r="G15" s="27" t="str">
        <x:v>Official</x:v>
      </x:c>
      <x:c r="H15" s="27" t="str">
        <x:v>2026-09-28</x:v>
      </x:c>
    </x:row>
    <x:row r="16" ht="46" customHeight="1">
      <x:c r="A16" s="27" t="str">
        <x:v>GCO-01</x:v>
      </x:c>
      <x:c r="B16" s="27" t="str">
        <x:v>Galway County</x:v>
      </x:c>
      <x:c r="C16" s="27" t="str">
        <x:v>Taking in charge</x:v>
      </x:c>
      <x:c r="D16" s="27" t="str">
        <x:v>Taking in Charge – Completed Residential Developments</x:v>
      </x:c>
      <x:c r="E16" s="27" t="str">
        <x:v>https://www.galway.ie/en/planning-building/development-management/taking-charge-completed-residential-developments</x:v>
      </x:c>
      <x:c r="F16" s="27" t="str">
        <x:v>Links register of estates taken in charge to June 2026.</x:v>
      </x:c>
      <x:c r="G16" s="27" t="str">
        <x:v>Official</x:v>
      </x:c>
      <x:c r="H16" s="27" t="str">
        <x:v>2026-09-28</x:v>
      </x:c>
    </x:row>
    <x:row r="17" ht="46" customHeight="1">
      <x:c r="A17" s="27" t="str">
        <x:v>KER-01</x:v>
      </x:c>
      <x:c r="B17" s="27" t="str">
        <x:v>Kerry</x:v>
      </x:c>
      <x:c r="C17" s="27" t="str">
        <x:v>Taking in charge</x:v>
      </x:c>
      <x:c r="D17" s="27" t="str">
        <x:v>Housing Estates</x:v>
      </x:c>
      <x:c r="E17" s="27" t="str">
        <x:v>https://www.kerrycoco.ie/planning/development-management/housing-estates/</x:v>
      </x:c>
      <x:c r="F17" s="27" t="str">
        <x:v>Policy/forms and annual TIC actions for 2024-2026.</x:v>
      </x:c>
      <x:c r="G17" s="27" t="str">
        <x:v>Official</x:v>
      </x:c>
      <x:c r="H17" s="27" t="str">
        <x:v>2026-09-28</x:v>
      </x:c>
    </x:row>
    <x:row r="18" ht="46" customHeight="1">
      <x:c r="A18" s="27" t="str">
        <x:v>KID-01</x:v>
      </x:c>
      <x:c r="B18" s="27" t="str">
        <x:v>Kildare</x:v>
      </x:c>
      <x:c r="C18" s="27" t="str">
        <x:v>Building control</x:v>
      </x:c>
      <x:c r="D18" s="27" t="str">
        <x:v>Public Access to Building Control Records</x:v>
      </x:c>
      <x:c r="E18" s="27" t="str">
        <x:v>https://kildarecoco.ie/AllServices/BuildingandDevelopmentControl/BuildingControl/PublicAccesstoBuildingControlRecords/</x:v>
      </x:c>
      <x:c r="F18" s="27" t="str">
        <x:v>BCMS from 2014; pre-2014 commencement notices via Online Planning Enquiries.</x:v>
      </x:c>
      <x:c r="G18" s="27" t="str">
        <x:v>Official</x:v>
      </x:c>
      <x:c r="H18" s="27" t="str">
        <x:v>2026-09-28</x:v>
      </x:c>
    </x:row>
    <x:row r="19" ht="46" customHeight="1">
      <x:c r="A19" s="27" t="str">
        <x:v>KID-02</x:v>
      </x:c>
      <x:c r="B19" s="27" t="str">
        <x:v>Kildare</x:v>
      </x:c>
      <x:c r="C19" s="27" t="str">
        <x:v>Taking in charge</x:v>
      </x:c>
      <x:c r="D19" s="27" t="str">
        <x:v>List of Estates Taken in Charge</x:v>
      </x:c>
      <x:c r="E19" s="27" t="str">
        <x:v>https://kildarecoco.ie/AllServices/BuildingandDevelopmentControl/DevelopmentControl/ListofEstatesTakeninCharge/</x:v>
      </x:c>
      <x:c r="F19" s="27" t="str">
        <x:v>List current to 10 April 2026.</x:v>
      </x:c>
      <x:c r="G19" s="27" t="str">
        <x:v>Official</x:v>
      </x:c>
      <x:c r="H19" s="27" t="str">
        <x:v>2026-09-28</x:v>
      </x:c>
    </x:row>
    <x:row r="20" ht="46" customHeight="1">
      <x:c r="A20" s="27" t="str">
        <x:v>KIL-01</x:v>
      </x:c>
      <x:c r="B20" s="27" t="str">
        <x:v>Kilkenny</x:v>
      </x:c>
      <x:c r="C20" s="27" t="str">
        <x:v>Taking in charge</x:v>
      </x:c>
      <x:c r="D20" s="27" t="str">
        <x:v>List of Estates Taken in Charge</x:v>
      </x:c>
      <x:c r="E20" s="27" t="str">
        <x:v>https://kilkennycoco.ie/eng/services/planning/planning-applications/taking-in-charge-of-housing-estates-process/list-of-estates-taken-in-charge.html</x:v>
      </x:c>
      <x:c r="F20" s="27" t="str">
        <x:v>Structured list with file ref, addresses, units and TIC date.</x:v>
      </x:c>
      <x:c r="G20" s="27" t="str">
        <x:v>Official</x:v>
      </x:c>
      <x:c r="H20" s="27" t="str">
        <x:v>2026-09-28</x:v>
      </x:c>
    </x:row>
    <x:row r="21" ht="46" customHeight="1">
      <x:c r="A21" s="27" t="str">
        <x:v>LAO-01</x:v>
      </x:c>
      <x:c r="B21" s="27" t="str">
        <x:v>Laois</x:v>
      </x:c>
      <x:c r="C21" s="27" t="str">
        <x:v>Building control</x:v>
      </x:c>
      <x:c r="D21" s="27" t="str">
        <x:v>Building Control Register</x:v>
      </x:c>
      <x:c r="E21" s="27" t="str">
        <x:v>https://laois.ie/planning-and-building/building-control/building-control-register</x:v>
      </x:c>
      <x:c r="F21" s="27" t="str">
        <x:v>Confirms public-register categories CN, 7-day, CCC, DAC and FSC.</x:v>
      </x:c>
      <x:c r="G21" s="27" t="str">
        <x:v>Official</x:v>
      </x:c>
      <x:c r="H21" s="27" t="str">
        <x:v>2026-09-28</x:v>
      </x:c>
    </x:row>
    <x:row r="22" ht="46" customHeight="1">
      <x:c r="A22" s="27" t="str">
        <x:v>LEI-01</x:v>
      </x:c>
      <x:c r="B22" s="27" t="str">
        <x:v>Leitrim</x:v>
      </x:c>
      <x:c r="C22" s="27" t="str">
        <x:v>Taking in charge</x:v>
      </x:c>
      <x:c r="D22" s="27" t="str">
        <x:v>Unfinished Estates / Taking in Charge</x:v>
      </x:c>
      <x:c r="E22" s="27" t="str">
        <x:v>https://www.leitrim.ie/council/services/planning-building/unfinished-estates-taking-in-charge/</x:v>
      </x:c>
      <x:c r="F22" s="27" t="str">
        <x:v>Indicative TIC list with completeness caveat.</x:v>
      </x:c>
      <x:c r="G22" s="27" t="str">
        <x:v>Official</x:v>
      </x:c>
      <x:c r="H22" s="27" t="str">
        <x:v>2026-09-28</x:v>
      </x:c>
    </x:row>
    <x:row r="23" ht="46" customHeight="1">
      <x:c r="A23" s="27" t="str">
        <x:v>LIM-01</x:v>
      </x:c>
      <x:c r="B23" s="27" t="str">
        <x:v>Limerick City &amp; County</x:v>
      </x:c>
      <x:c r="C23" s="27" t="str">
        <x:v>Taking in charge</x:v>
      </x:c>
      <x:c r="D23" s="27" t="str">
        <x:v>Taking in Charge</x:v>
      </x:c>
      <x:c r="E23" s="27" t="str">
        <x:v>https://www.limerick.ie/council/services/planning-and-placemaking/taking-in-charge-of-housing-estates/taking-in-charge</x:v>
      </x:c>
      <x:c r="F23" s="27" t="str">
        <x:v>TIC protocol and application route.</x:v>
      </x:c>
      <x:c r="G23" s="27" t="str">
        <x:v>Official</x:v>
      </x:c>
      <x:c r="H23" s="27" t="str">
        <x:v>2026-09-28</x:v>
      </x:c>
    </x:row>
    <x:row r="24" ht="46" customHeight="1">
      <x:c r="A24" s="27" t="str">
        <x:v>LON-01</x:v>
      </x:c>
      <x:c r="B24" s="27" t="str">
        <x:v>Longford</x:v>
      </x:c>
      <x:c r="C24" s="27" t="str">
        <x:v>Taking in charge</x:v>
      </x:c>
      <x:c r="D24" s="27" t="str">
        <x:v>Taking in Charge</x:v>
      </x:c>
      <x:c r="E24" s="27" t="str">
        <x:v>https://www.longfordcoco.ie/services/planning/taking-in-charge/</x:v>
      </x:c>
      <x:c r="F24" s="27" t="str">
        <x:v>Council policy and process.</x:v>
      </x:c>
      <x:c r="G24" s="27" t="str">
        <x:v>Official</x:v>
      </x:c>
      <x:c r="H24" s="27" t="str">
        <x:v>2026-09-28</x:v>
      </x:c>
    </x:row>
    <x:row r="25" ht="46" customHeight="1">
      <x:c r="A25" s="27" t="str">
        <x:v>LOU-01</x:v>
      </x:c>
      <x:c r="B25" s="27" t="str">
        <x:v>Louth</x:v>
      </x:c>
      <x:c r="C25" s="27" t="str">
        <x:v>Taking in charge</x:v>
      </x:c>
      <x:c r="D25" s="27" t="str">
        <x:v>Taking In Charge</x:v>
      </x:c>
      <x:c r="E25" s="27" t="str">
        <x:v>https://www.louthcoco.ie/services/planning/taking-in-charge/</x:v>
      </x:c>
      <x:c r="F25" s="27" t="str">
        <x:v>Publishes taken-in-charge list and live TIC application list.</x:v>
      </x:c>
      <x:c r="G25" s="27" t="str">
        <x:v>Official</x:v>
      </x:c>
      <x:c r="H25" s="27" t="str">
        <x:v>2026-09-28</x:v>
      </x:c>
    </x:row>
    <x:row r="26" ht="46" customHeight="1">
      <x:c r="A26" s="27" t="str">
        <x:v>MEA-01</x:v>
      </x:c>
      <x:c r="B26" s="27" t="str">
        <x:v>Meath</x:v>
      </x:c>
      <x:c r="C26" s="27" t="str">
        <x:v>Taking in charge</x:v>
      </x:c>
      <x:c r="D26" s="27" t="str">
        <x:v>Taking Charge of Roads / Estates</x:v>
      </x:c>
      <x:c r="E26" s="27" t="str">
        <x:v>https://www.meath.ie/council/council-services/planning-and-building/taking-charge-of-roads-estates-0</x:v>
      </x:c>
      <x:c r="F26" s="27" t="str">
        <x:v>Process and annual declaration notices.</x:v>
      </x:c>
      <x:c r="G26" s="27" t="str">
        <x:v>Official</x:v>
      </x:c>
      <x:c r="H26" s="27" t="str">
        <x:v>2026-09-28</x:v>
      </x:c>
    </x:row>
    <x:row r="27" ht="46" customHeight="1">
      <x:c r="A27" s="27" t="str">
        <x:v>MON-01</x:v>
      </x:c>
      <x:c r="B27" s="27" t="str">
        <x:v>Monaghan</x:v>
      </x:c>
      <x:c r="C27" s="27" t="str">
        <x:v>Planning</x:v>
      </x:c>
      <x:c r="D27" s="27" t="str">
        <x:v>Request a Planning Search</x:v>
      </x:c>
      <x:c r="E27" s="27" t="str">
        <x:v>https://monaghan.ie/planning/request-a-planning-search/</x:v>
      </x:c>
      <x:c r="F27" s="27" t="str">
        <x:v>Search includes planning history and taken-in-charge status.</x:v>
      </x:c>
      <x:c r="G27" s="27" t="str">
        <x:v>Official</x:v>
      </x:c>
      <x:c r="H27" s="27" t="str">
        <x:v>2026-09-28</x:v>
      </x:c>
    </x:row>
    <x:row r="28" ht="46" customHeight="1">
      <x:c r="A28" s="27" t="str">
        <x:v>MON-02</x:v>
      </x:c>
      <x:c r="B28" s="27" t="str">
        <x:v>Monaghan</x:v>
      </x:c>
      <x:c r="C28" s="27" t="str">
        <x:v>Taking in charge</x:v>
      </x:c>
      <x:c r="D28" s="27" t="str">
        <x:v>Taking in Charge</x:v>
      </x:c>
      <x:c r="E28" s="27" t="str">
        <x:v>https://monaghan.ie/planning/taking-in-charge/</x:v>
      </x:c>
      <x:c r="F28" s="27" t="str">
        <x:v>Process and links to declaration notices.</x:v>
      </x:c>
      <x:c r="G28" s="27" t="str">
        <x:v>Official</x:v>
      </x:c>
      <x:c r="H28" s="27" t="str">
        <x:v>2026-09-28</x:v>
      </x:c>
    </x:row>
    <x:row r="29" ht="46" customHeight="1">
      <x:c r="A29" s="27" t="str">
        <x:v>OFF-01</x:v>
      </x:c>
      <x:c r="B29" s="27" t="str">
        <x:v>Offaly</x:v>
      </x:c>
      <x:c r="C29" s="27" t="str">
        <x:v>Building control</x:v>
      </x:c>
      <x:c r="D29" s="27" t="str">
        <x:v>Housing and Building Standards</x:v>
      </x:c>
      <x:c r="E29" s="27" t="str">
        <x:v>https://www.offaly.ie/housing-and-building-standards/</x:v>
      </x:c>
      <x:c r="F29" s="27" t="str">
        <x:v>Fire-service file access by prior appointment and supervised inspection.</x:v>
      </x:c>
      <x:c r="G29" s="27" t="str">
        <x:v>Official</x:v>
      </x:c>
      <x:c r="H29" s="27" t="str">
        <x:v>2026-09-28</x:v>
      </x:c>
    </x:row>
    <x:row r="30" ht="46" customHeight="1">
      <x:c r="A30" s="27" t="str">
        <x:v>ROS-01</x:v>
      </x:c>
      <x:c r="B30" s="27" t="str">
        <x:v>Roscommon</x:v>
      </x:c>
      <x:c r="C30" s="27" t="str">
        <x:v>Taking in charge</x:v>
      </x:c>
      <x:c r="D30" s="27" t="str">
        <x:v>Guide to Taking in Charge</x:v>
      </x:c>
      <x:c r="E30" s="27" t="str">
        <x:v>https://www.roscommoncoco.ie/en/services/planning/search-planning-applications/planning-leaflets/15-a-guide-to-taking-in-charge-of-completed-residential-developments.pdf</x:v>
      </x:c>
      <x:c r="F30" s="27" t="str">
        <x:v>Guide; individual decisions appear in municipal agendas/minutes.</x:v>
      </x:c>
      <x:c r="G30" s="27" t="str">
        <x:v>Official</x:v>
      </x:c>
      <x:c r="H30" s="27" t="str">
        <x:v>2026-09-28</x:v>
      </x:c>
    </x:row>
    <x:row r="31" ht="46" customHeight="1">
      <x:c r="A31" s="27" t="str">
        <x:v>SLI-01</x:v>
      </x:c>
      <x:c r="B31" s="27" t="str">
        <x:v>Sligo</x:v>
      </x:c>
      <x:c r="C31" s="27" t="str">
        <x:v>Taking in charge</x:v>
      </x:c>
      <x:c r="D31" s="27" t="str">
        <x:v>Estates Taken in Charge</x:v>
      </x:c>
      <x:c r="E31" s="27" t="str">
        <x:v>https://www.sligococo.ie/Services/RoadsandParking/Roads/EstatesTakeninCharge/</x:v>
      </x:c>
      <x:c r="F31" s="27" t="str">
        <x:v>Published list with caveat on planning/financial compliance.</x:v>
      </x:c>
      <x:c r="G31" s="27" t="str">
        <x:v>Official</x:v>
      </x:c>
      <x:c r="H31" s="27" t="str">
        <x:v>2026-09-28</x:v>
      </x:c>
    </x:row>
    <x:row r="32" ht="46" customHeight="1">
      <x:c r="A32" s="27" t="str">
        <x:v>SDC-01</x:v>
      </x:c>
      <x:c r="B32" s="27" t="str">
        <x:v>South Dublin</x:v>
      </x:c>
      <x:c r="C32" s="27" t="str">
        <x:v>Taking in charge</x:v>
      </x:c>
      <x:c r="D32" s="27" t="str">
        <x:v>Bonds &amp; Taking-In-Charge</x:v>
      </x:c>
      <x:c r="E32" s="27" t="str">
        <x:v>https://sdcc.ie/en/services/planning-building-control/bonds-taking-in-charge/</x:v>
      </x:c>
      <x:c r="F32" s="27" t="str">
        <x:v>Process, standards, bonds and building-control links.</x:v>
      </x:c>
      <x:c r="G32" s="27" t="str">
        <x:v>Official</x:v>
      </x:c>
      <x:c r="H32" s="27" t="str">
        <x:v>2026-09-28</x:v>
      </x:c>
    </x:row>
    <x:row r="33" ht="46" customHeight="1">
      <x:c r="A33" s="27" t="str">
        <x:v>TIP-01</x:v>
      </x:c>
      <x:c r="B33" s="27" t="str">
        <x:v>Tipperary</x:v>
      </x:c>
      <x:c r="C33" s="27" t="str">
        <x:v>Building control</x:v>
      </x:c>
      <x:c r="D33" s="27" t="str">
        <x:v>Planning &amp; Building Services</x:v>
      </x:c>
      <x:c r="E33" s="27" t="str">
        <x:v>https://www.tipperarycoco.ie/planning-and-building/supporting-services</x:v>
      </x:c>
      <x:c r="F33" s="27" t="str">
        <x:v>States public register includes CN, 7-day, CCC, DAC and FSC.</x:v>
      </x:c>
      <x:c r="G33" s="27" t="str">
        <x:v>Official</x:v>
      </x:c>
      <x:c r="H33" s="27" t="str">
        <x:v>2026-09-28</x:v>
      </x:c>
    </x:row>
    <x:row r="34" ht="46" customHeight="1">
      <x:c r="A34" s="27" t="str">
        <x:v>WAT-01</x:v>
      </x:c>
      <x:c r="B34" s="27" t="str">
        <x:v>Waterford City &amp; County</x:v>
      </x:c>
      <x:c r="C34" s="27" t="str">
        <x:v>Taking in charge</x:v>
      </x:c>
      <x:c r="D34" s="27" t="str">
        <x:v>Taking In Charge</x:v>
      </x:c>
      <x:c r="E34" s="27" t="str">
        <x:v>https://waterfordcouncil.ie/services/planning/estate-management/taking-in-charge/</x:v>
      </x:c>
      <x:c r="F34" s="27" t="str">
        <x:v>Council process; notices and meeting documents provide events.</x:v>
      </x:c>
      <x:c r="G34" s="27" t="str">
        <x:v>Official</x:v>
      </x:c>
      <x:c r="H34" s="27" t="str">
        <x:v>2026-09-28</x:v>
      </x:c>
    </x:row>
    <x:row r="35" ht="46" customHeight="1">
      <x:c r="A35" s="27" t="str">
        <x:v>WME-01</x:v>
      </x:c>
      <x:c r="B35" s="27" t="str">
        <x:v>Westmeath</x:v>
      </x:c>
      <x:c r="C35" s="27" t="str">
        <x:v>Taking in charge</x:v>
      </x:c>
      <x:c r="D35" s="27" t="str">
        <x:v>Taking in Charge</x:v>
      </x:c>
      <x:c r="E35" s="27" t="str">
        <x:v>https://www.westmeathcoco.ie/en/ourservices/planning/takingincharge/</x:v>
      </x:c>
      <x:c r="F35" s="27" t="str">
        <x:v>Council process and supporting notices.</x:v>
      </x:c>
      <x:c r="G35" s="27" t="str">
        <x:v>Official</x:v>
      </x:c>
      <x:c r="H35" s="27" t="str">
        <x:v>2026-09-28</x:v>
      </x:c>
    </x:row>
    <x:row r="36" ht="46" customHeight="1">
      <x:c r="A36" s="27" t="str">
        <x:v>WEX-01</x:v>
      </x:c>
      <x:c r="B36" s="27" t="str">
        <x:v>Wexford</x:v>
      </x:c>
      <x:c r="C36" s="27" t="str">
        <x:v>Taking in charge</x:v>
      </x:c>
      <x:c r="D36" s="27" t="str">
        <x:v>List of taken in charge estates</x:v>
      </x:c>
      <x:c r="E36" s="27" t="str">
        <x:v>https://www.wexfordcoco.ie/planning/building-control/taking-in-charge/list-of-taken-in-charge-estates</x:v>
      </x:c>
      <x:c r="F36" s="27" t="str">
        <x:v>Dedicated published list.</x:v>
      </x:c>
      <x:c r="G36" s="27" t="str">
        <x:v>Official</x:v>
      </x:c>
      <x:c r="H36" s="27" t="str">
        <x:v>2026-09-28</x:v>
      </x:c>
    </x:row>
    <x:row r="37" ht="46" customHeight="1">
      <x:c r="A37" s="27" t="str">
        <x:v>WIC-01</x:v>
      </x:c>
      <x:c r="B37" s="27" t="str">
        <x:v>Wicklow</x:v>
      </x:c>
      <x:c r="C37" s="27" t="str">
        <x:v>Taking in charge</x:v>
      </x:c>
      <x:c r="D37" s="27" t="str">
        <x:v>Housing Estate Taking in Charge</x:v>
      </x:c>
      <x:c r="E37" s="27" t="str">
        <x:v>https://www.wicklow.ie/Living/Services/Planning/Taking-in-Charge-of-a-Housing-Estate</x:v>
      </x:c>
      <x:c r="F37" s="27" t="str">
        <x:v>Policy plus intention lists and maps.</x:v>
      </x:c>
      <x:c r="G37" s="27" t="str">
        <x:v>Official</x:v>
      </x:c>
      <x:c r="H37" s="27" t="str">
        <x:v>2026-09-28</x:v>
      </x:c>
    </x:row>
    <x:row r="38" ht="46" customHeight="1">
      <x:c r="A38" s="27" t="str">
        <x:v>4D-01</x:v>
      </x:c>
      <x:c r="B38" s="27" t="str">
        <x:v>Dublin region</x:v>
      </x:c>
      <x:c r="C38" s="27" t="str">
        <x:v>Pipeline</x:v>
      </x:c>
      <x:c r="D38" s="27" t="str">
        <x:v>Dublin Housing Supply and Coordination Task Force / 4Dublin</x:v>
      </x:c>
      <x:c r="E38" s="27" t="str">
        <x:v>https://housinggovie.maps.arcgis.com/</x:v>
      </x:c>
      <x:c r="F38" s="27" t="str">
        <x:v>Development pipeline for schemes of 10+ homes across the four Dublin authorities.</x:v>
      </x:c>
      <x:c r="G38" s="27" t="str">
        <x:v>Official / ArcGIS</x:v>
      </x:c>
      <x:c r="H38" s="27" t="str">
        <x:v>2026-09-28</x:v>
      </x:c>
    </x:row>
  </x:sheetData>
  <x:pageMargins left="0.7" right="0.7" top="0.75" bottom="0.75" header="0.3" footer="0.3"/>
  <x:tableParts count="1">
    <x:tablePart xmlns:r="http://schemas.openxmlformats.org/officeDocument/2006/relationships" r:id="Rf061a726a3f045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47" hidden="0" customWidth="1"/>
    <x:col min="3" max="3" width="18" hidden="0" customWidth="1"/>
    <x:col min="4" max="4" width="27" hidden="0" customWidth="1"/>
    <x:col min="5" max="5" width="43" hidden="0" customWidth="1"/>
    <x:col min="6" max="6" width="35" hidden="0" customWidth="1"/>
  </x:cols>
  <x:sheetData>
    <x:row r="1" ht="34" customHeight="1">
      <x:c r="A1" s="30" t="str">
        <x:v>Historic building-control / taking-in-charge data request template</x:v>
      </x:c>
      <x:c r="B1" s="30"/>
      <x:c r="C1" s="30"/>
      <x:c r="D1" s="30"/>
      <x:c r="E1" s="30"/>
      <x:c r="F1" s="30"/>
    </x:row>
    <x:row r="2" ht="28" customHeight="1">
      <x:c r="A2" s="31" t="str">
        <x:v>Use an administrative access request first; use FOI where necessary. Ask for a register extract before requesting scanned files.</x:v>
      </x:c>
      <x:c r="B2" s="31"/>
      <x:c r="C2" s="31"/>
      <x:c r="D2" s="31"/>
      <x:c r="E2" s="31"/>
      <x:c r="F2" s="31"/>
    </x:row>
    <x:row r="4" ht="34" customHeight="1">
      <x:c r="A4" s="35" t="str">
        <x:v>Field</x:v>
      </x:c>
      <x:c r="B4" s="35" t="str">
        <x:v>Requested content</x:v>
      </x:c>
      <x:c r="C4" s="35" t="str">
        <x:v>Preferred format</x:v>
      </x:c>
      <x:c r="D4" s="35" t="str">
        <x:v>Why it matters</x:v>
      </x:c>
      <x:c r="E4" s="35" t="str">
        <x:v>Scope note</x:v>
      </x:c>
      <x:c r="F4" s="35" t="str">
        <x:v>Fallback</x:v>
      </x:c>
    </x:row>
    <x:row r="5" ht="55" customHeight="1">
      <x:c r="A5" s="36" t="str">
        <x:v>Authority</x:v>
      </x:c>
      <x:c r="B5" s="36" t="str">
        <x:v>[insert council]</x:v>
      </x:c>
      <x:c r="C5" s="36" t="str">
        <x:v>Text</x:v>
      </x:c>
      <x:c r="D5" s="36" t="str">
        <x:v>Jurisdiction key</x:v>
      </x:c>
      <x:c r="E5" s="36" t="str">
        <x:v>Include legacy authority names after mergers</x:v>
      </x:c>
      <x:c r="F5" s="36" t="str">
        <x:v>—</x:v>
      </x:c>
    </x:row>
    <x:row r="6" ht="55" customHeight="1">
      <x:c r="A6" s="36" t="str">
        <x:v>Date range</x:v>
      </x:c>
      <x:c r="B6" s="36" t="str">
        <x:v>01 Jan 2000 to 28 Feb 2014</x:v>
      </x:c>
      <x:c r="C6" s="36" t="str">
        <x:v>ISO dates</x:v>
      </x:c>
      <x:c r="D6" s="36" t="str">
        <x:v>Closes pre-BCMS gap</x:v>
      </x:c>
      <x:c r="E6" s="36" t="str">
        <x:v>Ask for full range even if archive starts later</x:v>
      </x:c>
      <x:c r="F6" s="36" t="str">
        <x:v>Ask for available years + retention schedule</x:v>
      </x:c>
    </x:row>
    <x:row r="7" ht="55" customHeight="1">
      <x:c r="A7" s="36" t="str">
        <x:v>Commencement register</x:v>
      </x:c>
      <x:c r="B7" s="36" t="str">
        <x:v>All CN and 7-day notice register entries</x:v>
      </x:c>
      <x:c r="C7" s="36" t="str">
        <x:v>CSV/XLSX</x:v>
      </x:c>
      <x:c r="D7" s="36" t="str">
        <x:v>Start signal</x:v>
      </x:c>
      <x:c r="E7" s="36" t="str">
        <x:v>Fields: ref, received/validated/intended date, site, description, applicant/owner, planning ref, units, phase, notice type</x:v>
      </x:c>
      <x:c r="F7" s="36" t="str">
        <x:v>PDF register or inspection appointment</x:v>
      </x:c>
    </x:row>
    <x:row r="8" ht="55" customHeight="1">
      <x:c r="A8" s="36" t="str">
        <x:v>Completion register</x:v>
      </x:c>
      <x:c r="B8" s="36" t="str">
        <x:v>Any completion/compliance entries held before BCMS</x:v>
      </x:c>
      <x:c r="C8" s="36" t="str">
        <x:v>CSV/XLSX</x:v>
      </x:c>
      <x:c r="D8" s="36" t="str">
        <x:v>Completion signal</x:v>
      </x:c>
      <x:c r="E8" s="36" t="str">
        <x:v>Include occupation/use date if held</x:v>
      </x:c>
      <x:c r="F8" s="36" t="str">
        <x:v>File index or inspection</x:v>
      </x:c>
    </x:row>
    <x:row r="9" ht="55" customHeight="1">
      <x:c r="A9" s="36" t="str">
        <x:v>Fire / access certificates</x:v>
      </x:c>
      <x:c r="B9" s="36" t="str">
        <x:v>FSC, revised FSC, regularisation, DAC and dispensation/relaxation register entries</x:v>
      </x:c>
      <x:c r="C9" s="36" t="str">
        <x:v>CSV/XLSX</x:v>
      </x:c>
      <x:c r="D9" s="36" t="str">
        <x:v>Design/approval milestones</x:v>
      </x:c>
      <x:c r="E9" s="36" t="str">
        <x:v>Request application/grant dates and links to planning/CN refs</x:v>
      </x:c>
      <x:c r="F9" s="36" t="str">
        <x:v>Register PDF or inspection</x:v>
      </x:c>
    </x:row>
    <x:row r="10" ht="55" customHeight="1">
      <x:c r="A10" s="36" t="str">
        <x:v>Taking in charge</x:v>
      </x:c>
      <x:c r="B10" s="36" t="str">
        <x:v>Master schedule of estates: application, inspection, notice, resolution and effective dates</x:v>
      </x:c>
      <x:c r="C10" s="36" t="str">
        <x:v>CSV/XLSX</x:v>
      </x:c>
      <x:c r="D10" s="36" t="str">
        <x:v>Late-stage hand-over</x:v>
      </x:c>
      <x:c r="E10" s="36" t="str">
        <x:v>Include units, planning refs, bond/security status, partial/excluded areas</x:v>
      </x:c>
      <x:c r="F10" s="36" t="str">
        <x:v>Minutes/notices and current status list</x:v>
      </x:c>
    </x:row>
    <x:row r="11" ht="55" customHeight="1">
      <x:c r="A11" s="36" t="str">
        <x:v>Bonds / security</x:v>
      </x:c>
      <x:c r="B11" s="36" t="str">
        <x:v>Development security register/status where disclosable</x:v>
      </x:c>
      <x:c r="C11" s="36" t="str">
        <x:v>CSV/XLSX</x:v>
      </x:c>
      <x:c r="D11" s="36" t="str">
        <x:v>Construction/completion pressure</x:v>
      </x:c>
      <x:c r="E11" s="36" t="str">
        <x:v>Amounts may be commercially sensitive; dates/status are still useful</x:v>
      </x:c>
      <x:c r="F11" s="36" t="str">
        <x:v>Planning-condition compliance records</x:v>
      </x:c>
    </x:row>
    <x:row r="12" ht="55" customHeight="1">
      <x:c r="A12" s="36" t="str">
        <x:v>Enforcement</x:v>
      </x:c>
      <x:c r="B12" s="36" t="str">
        <x:v>Warning/enforcement notice index for identified ≥10-unit sites</x:v>
      </x:c>
      <x:c r="C12" s="36" t="str">
        <x:v>CSV/XLSX</x:v>
      </x:c>
      <x:c r="D12" s="36" t="str">
        <x:v>Delay/distress signal</x:v>
      </x:c>
      <x:c r="E12" s="36" t="str">
        <x:v>Target after building the planning spine</x:v>
      </x:c>
      <x:c r="F12" s="36" t="str">
        <x:v>Public notices / file inspection</x:v>
      </x:c>
    </x:row>
    <x:row r="13" ht="55" customHeight="1">
      <x:c r="A13" s="36" t="str">
        <x:v>Delivery</x:v>
      </x:c>
      <x:c r="B13" s="36" t="str">
        <x:v>Electronic rolling release by year</x:v>
      </x:c>
      <x:c r="C13" s="36" t="str">
        <x:v>CSV/XLSX + PDFs only where necessary</x:v>
      </x:c>
      <x:c r="D13" s="36" t="str">
        <x:v>Reduces burden</x:v>
      </x:c>
      <x:c r="E13" s="36" t="str">
        <x:v>Accept separate extracts by legacy office/municipal district</x:v>
      </x:c>
      <x:c r="F13" s="36" t="str">
        <x:v>On-site inspection with permission to photograph</x:v>
      </x:c>
    </x:row>
    <x:row r="15">
      <x:c r="A15" s="8" t="str">
        <x:v>Suggested wording</x:v>
      </x:c>
      <x:c r="B15" s="8"/>
      <x:c r="C15" s="8"/>
      <x:c r="D15" s="8"/>
      <x:c r="E15" s="8"/>
      <x:c r="F15" s="8"/>
    </x:row>
    <x:row r="16">
      <x:c r="A16" s="56" t="str">
        <x:v>Please provide an electronic extract of the statutory Building Control register for the period 1 January 2000 to 28 February 2014, including Commencement Notices and 7-Day Notices and, where held, completion/compliance entries, Fire Safety Certificate and Disability Access Certificate register entries. Please include register/reference number, relevant dates, site address, development description, applicant/owner, related planning reference, stated unit count/phase and status. Separately, please provide the authority’s master schedule of residential estates/developments subject to taking-in-charge procedures, including application/request, inspection, public notice, elected-member resolution and effective dates, plus planning references and unit counts where held. CSV or XLSX is preferred. If the full request is burdensome, please first provide the register index/field list and available year coverage so that I can narrow it to developments of 10 or more dwellings.</x:v>
      </x:c>
      <x:c r="B16" s="57"/>
      <x:c r="C16" s="57"/>
      <x:c r="D16" s="57"/>
      <x:c r="E16" s="57"/>
      <x:c r="F16" s="58"/>
    </x:row>
    <x:row r="17">
      <x:c r="A17" s="59"/>
      <x:c r="B17" s="60"/>
      <x:c r="C17" s="60"/>
      <x:c r="D17" s="60"/>
      <x:c r="E17" s="60"/>
      <x:c r="F17" s="61"/>
    </x:row>
    <x:row r="18">
      <x:c r="A18" s="59"/>
      <x:c r="B18" s="60"/>
      <x:c r="C18" s="60"/>
      <x:c r="D18" s="60"/>
      <x:c r="E18" s="60"/>
      <x:c r="F18" s="61"/>
    </x:row>
    <x:row r="19">
      <x:c r="A19" s="59"/>
      <x:c r="B19" s="60"/>
      <x:c r="C19" s="60"/>
      <x:c r="D19" s="60"/>
      <x:c r="E19" s="60"/>
      <x:c r="F19" s="61"/>
    </x:row>
    <x:row r="20">
      <x:c r="A20" s="59"/>
      <x:c r="B20" s="60"/>
      <x:c r="C20" s="60"/>
      <x:c r="D20" s="60"/>
      <x:c r="E20" s="60"/>
      <x:c r="F20" s="61"/>
    </x:row>
    <x:row r="21">
      <x:c r="A21" s="59"/>
      <x:c r="B21" s="60"/>
      <x:c r="C21" s="60"/>
      <x:c r="D21" s="60"/>
      <x:c r="E21" s="60"/>
      <x:c r="F21" s="61"/>
    </x:row>
    <x:row r="22">
      <x:c r="A22" s="62"/>
      <x:c r="B22" s="63"/>
      <x:c r="C22" s="63"/>
      <x:c r="D22" s="63"/>
      <x:c r="E22" s="63"/>
      <x:c r="F22" s="64"/>
    </x:row>
  </x:sheetData>
  <x:mergeCells>
    <x:mergeCell ref="A1:F1"/>
    <x:mergeCell ref="A2:F2"/>
    <x:mergeCell ref="A15:F15"/>
    <x:mergeCell ref="A16:F22"/>
  </x:mergeCells>
  <x:pageMargins left="0.7" right="0.7" top="0.75" bottom="0.75" header="0.3" footer="0.3"/>
</x:worksheet>
</file>